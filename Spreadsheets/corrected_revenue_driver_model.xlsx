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reaming_Benchmarks" sheetId="2" state="visible" r:id="rId2"/>
    <sheet xmlns:r="http://schemas.openxmlformats.org/officeDocument/2006/relationships" name="SaaS_Benchmarks" sheetId="3" state="visible" r:id="rId3"/>
    <sheet xmlns:r="http://schemas.openxmlformats.org/officeDocument/2006/relationships" name="Uncertainty_Ranges" sheetId="4" state="visible" r:id="rId4"/>
    <sheet xmlns:r="http://schemas.openxmlformats.org/officeDocument/2006/relationships" name="Reactivation_Curves" sheetId="5" state="visible" r:id="rId5"/>
    <sheet xmlns:r="http://schemas.openxmlformats.org/officeDocument/2006/relationships" name="Streaming_Model" sheetId="6" state="visible" r:id="rId6"/>
    <sheet xmlns:r="http://schemas.openxmlformats.org/officeDocument/2006/relationships" name="Streaming_Scenarios" sheetId="7" state="visible" r:id="rId7"/>
    <sheet xmlns:r="http://schemas.openxmlformats.org/officeDocument/2006/relationships" name="SaaS_Model" sheetId="8" state="visible" r:id="rId8"/>
    <sheet xmlns:r="http://schemas.openxmlformats.org/officeDocument/2006/relationships" name="SaaS_Scenarios" sheetId="9" state="visible" r:id="rId9"/>
    <sheet xmlns:r="http://schemas.openxmlformats.org/officeDocument/2006/relationships" name="SaaS_CLV_CAC_Uncertainty" sheetId="10" state="visible" r:id="rId10"/>
    <sheet xmlns:r="http://schemas.openxmlformats.org/officeDocument/2006/relationships" name="Exclusions" sheetId="11" state="visible" r:id="rId11"/>
    <sheet xmlns:r="http://schemas.openxmlformats.org/officeDocument/2006/relationships" name="Audit_Fixes" sheetId="12" state="visible" r:id="rId12"/>
    <sheet xmlns:r="http://schemas.openxmlformats.org/officeDocument/2006/relationships" name="Executive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Corrected Revenue Driver Model</t>
        </is>
      </c>
      <c r="B1" s="1" t="n"/>
    </row>
    <row r="2">
      <c r="A2" s="2" t="inlineStr">
        <is>
          <t>This workbook contains two separate benchmark-calibrated models: Streaming and SaaS.</t>
        </is>
      </c>
      <c r="B2" s="2" t="n"/>
    </row>
    <row r="3">
      <c r="A3" s="2" t="inlineStr">
        <is>
          <t>Important note</t>
        </is>
      </c>
      <c r="B3" s="2" t="inlineStr">
        <is>
          <t>Forecast horizon is 24 months to better capture reactivation cycles; accuracy is lower in later months and this is disclosed in the reports.</t>
        </is>
      </c>
    </row>
    <row r="4">
      <c r="A4" s="2" t="inlineStr">
        <is>
          <t>Excluded metrics</t>
        </is>
      </c>
      <c r="B4" s="2" t="inlineStr">
        <is>
          <t>Streaming CAC and seats/licenses/users were excluded because confidence was below acceptable threshold.</t>
        </is>
      </c>
    </row>
    <row r="5">
      <c r="A5" s="2" t="inlineStr">
        <is>
          <t>Streaming weighted ARPU</t>
        </is>
      </c>
      <c r="B5" s="2" t="n">
        <v>9.6005</v>
      </c>
    </row>
    <row r="6">
      <c r="A6" s="2" t="inlineStr">
        <is>
          <t>Streaming simple ARPU</t>
        </is>
      </c>
      <c r="B6" s="2" t="n">
        <v>8.779999999999999</v>
      </c>
    </row>
    <row r="7">
      <c r="A7" s="2" t="inlineStr">
        <is>
          <t>Streaming starting subscribers</t>
        </is>
      </c>
      <c r="B7" s="2" t="n">
        <v>1252.65</v>
      </c>
    </row>
    <row r="8">
      <c r="A8" s="2" t="inlineStr">
        <is>
          <t>SaaS starting ARR archetype</t>
        </is>
      </c>
      <c r="B8" s="2" t="n">
        <v>2000000</v>
      </c>
    </row>
    <row r="9">
      <c r="A9" s="2" t="inlineStr">
        <is>
          <t>SaaS starting customers archetype</t>
        </is>
      </c>
      <c r="B9" s="2" t="n">
        <v>166.67</v>
      </c>
    </row>
    <row r="10">
      <c r="A10" s="2" t="inlineStr">
        <is>
          <t>SaaS CLV</t>
        </is>
      </c>
      <c r="B10" s="2" t="n">
        <v>28203.05</v>
      </c>
    </row>
    <row r="11">
      <c r="A11" s="2" t="inlineStr">
        <is>
          <t>SaaS CAC</t>
        </is>
      </c>
      <c r="B11" s="2" t="n">
        <v>22096.19</v>
      </c>
    </row>
    <row r="12">
      <c r="A12" s="2" t="inlineStr">
        <is>
          <t>SaaS CLV/CAC ratio (output)</t>
        </is>
      </c>
      <c r="B12" s="2" t="n">
        <v>1.28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41" customWidth="1" min="5" max="5"/>
  </cols>
  <sheetData>
    <row r="1">
      <c r="A1" s="1" t="inlineStr">
        <is>
          <t>platform</t>
        </is>
      </c>
      <c r="B1" s="1" t="inlineStr">
        <is>
          <t>subs_millions</t>
        </is>
      </c>
      <c r="C1" s="1" t="inlineStr">
        <is>
          <t>arpu</t>
        </is>
      </c>
      <c r="D1" s="1" t="inlineStr">
        <is>
          <t>annual_sub_growth</t>
        </is>
      </c>
      <c r="E1" s="1" t="inlineStr">
        <is>
          <t>notes</t>
        </is>
      </c>
    </row>
    <row r="2">
      <c r="A2" s="2" t="inlineStr">
        <is>
          <t>Netflix</t>
        </is>
      </c>
      <c r="B2" s="2" t="n">
        <v>301.63</v>
      </c>
      <c r="C2" s="2" t="n">
        <v>11.7</v>
      </c>
      <c r="D2" s="2" t="n">
        <v>0.159</v>
      </c>
      <c r="E2" s="2" t="inlineStr">
        <is>
          <t>Subscriber base and global ARM 2024</t>
        </is>
      </c>
    </row>
    <row r="3">
      <c r="A3" s="2" t="inlineStr">
        <is>
          <t>Disney+</t>
        </is>
      </c>
      <c r="B3" s="2" t="n">
        <v>158.6</v>
      </c>
      <c r="C3" s="2" t="n">
        <v>7.2</v>
      </c>
      <c r="D3" s="2" t="n">
        <v>0.119</v>
      </c>
      <c r="E3" s="2" t="inlineStr">
        <is>
          <t>Q4 2024 subscribers and overall ARPU</t>
        </is>
      </c>
    </row>
    <row r="4">
      <c r="A4" s="2" t="inlineStr">
        <is>
          <t>WBD DTC</t>
        </is>
      </c>
      <c r="B4" s="2" t="n">
        <v>116.9</v>
      </c>
      <c r="C4" s="2" t="n">
        <v>7.44</v>
      </c>
      <c r="D4" s="2" t="n">
        <v>0.2</v>
      </c>
      <c r="E4" s="2" t="inlineStr">
        <is>
          <t>Q4 2024 DTC subscribers and global ARPU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Gross margin overall median</t>
        </is>
      </c>
      <c r="B2" s="2" t="n">
        <v>0.72</v>
      </c>
      <c r="C2" s="2" t="inlineStr">
        <is>
          <t>KeyBanc/Sapphire overall survey group 2024</t>
        </is>
      </c>
    </row>
    <row r="3">
      <c r="A3" s="2" t="inlineStr">
        <is>
          <t>Gross margin top quartile</t>
        </is>
      </c>
      <c r="B3" s="2" t="n">
        <v>0.8100000000000001</v>
      </c>
      <c r="C3" s="2" t="inlineStr">
        <is>
          <t>KeyBanc/Sapphire top quartile 2024</t>
        </is>
      </c>
    </row>
    <row r="4">
      <c r="A4" s="2" t="inlineStr">
        <is>
          <t>Logo churn monthly median (ARR $1M-$3M)</t>
        </is>
      </c>
      <c r="B4" s="2" t="n">
        <v>0.013</v>
      </c>
      <c r="C4" s="2" t="inlineStr">
        <is>
          <t>ChartMogul customer churn benchmark</t>
        </is>
      </c>
    </row>
    <row r="5">
      <c r="A5" s="2" t="inlineStr">
        <is>
          <t>Gross MRR churn monthly (&gt; $1k ARPA)</t>
        </is>
      </c>
      <c r="B5" s="2" t="n">
        <v>0.027</v>
      </c>
      <c r="C5" s="2" t="inlineStr">
        <is>
          <t>ChartMogul revenue churn benchmark</t>
        </is>
      </c>
    </row>
    <row r="6">
      <c r="A6" s="2" t="inlineStr">
        <is>
          <t>Net MRR churn monthly (&gt; $1k ARPA)</t>
        </is>
      </c>
      <c r="B6" s="2" t="n">
        <v>0.001</v>
      </c>
      <c r="C6" s="2" t="inlineStr">
        <is>
          <t>ChartMogul revenue churn benchmark</t>
        </is>
      </c>
    </row>
    <row r="7">
      <c r="A7" s="2" t="inlineStr">
        <is>
          <t>New customer CAC ratio median</t>
        </is>
      </c>
      <c r="B7" s="2" t="n">
        <v>1.76</v>
      </c>
      <c r="C7" s="2" t="inlineStr">
        <is>
          <t>Benchmarkit/Pavilion-type 2024 benchmark summary</t>
        </is>
      </c>
    </row>
    <row r="8">
      <c r="A8" s="2" t="inlineStr">
        <is>
          <t>New customer CAC ratio top quartile</t>
        </is>
      </c>
      <c r="B8" s="2" t="n">
        <v>2.03</v>
      </c>
      <c r="C8" s="2" t="inlineStr">
        <is>
          <t>Benchmarkit/Pavilion-type 2024 benchmark summary</t>
        </is>
      </c>
    </row>
    <row r="9">
      <c r="A9" s="2" t="inlineStr">
        <is>
          <t>Expansion share of positive ARR movement</t>
        </is>
      </c>
      <c r="B9" s="2" t="n">
        <v>0.26</v>
      </c>
      <c r="C9" s="2" t="inlineStr">
        <is>
          <t>OpenView early-to-mid-stage benchmark context</t>
        </is>
      </c>
    </row>
    <row r="10">
      <c r="A10" s="2" t="inlineStr">
        <is>
          <t>Private SaaS annual growth median</t>
        </is>
      </c>
      <c r="B10" s="2" t="n">
        <v>0.2</v>
      </c>
      <c r="C10" s="2" t="inlineStr">
        <is>
          <t>High Alpha/OpenView 2024 benchmark context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parameter</t>
        </is>
      </c>
      <c r="B1" s="1" t="inlineStr">
        <is>
          <t>low</t>
        </is>
      </c>
      <c r="C1" s="1" t="inlineStr">
        <is>
          <t>base</t>
        </is>
      </c>
      <c r="D1" s="1" t="inlineStr">
        <is>
          <t>high</t>
        </is>
      </c>
      <c r="E1" s="1" t="inlineStr">
        <is>
          <t>notes</t>
        </is>
      </c>
    </row>
    <row r="2">
      <c r="A2" s="2" t="inlineStr">
        <is>
          <t>billing_leakage</t>
        </is>
      </c>
      <c r="B2" s="2" t="n">
        <v>0.02</v>
      </c>
      <c r="C2" s="2" t="n">
        <v>0.0459</v>
      </c>
      <c r="D2" s="2" t="n">
        <v>0.08</v>
      </c>
      <c r="E2" s="2" t="inlineStr">
        <is>
          <t>Derived from 15% decline exposure x 30.6% net unrecovered = 4.59%; low/high range disclosed</t>
        </is>
      </c>
    </row>
    <row r="3">
      <c r="A3" s="2" t="inlineStr">
        <is>
          <t>streaming_gross_churn</t>
        </is>
      </c>
      <c r="B3" s="2" t="n">
        <v>0.02</v>
      </c>
      <c r="C3" s="2" t="n">
        <v>0.05</v>
      </c>
      <c r="D3" s="2" t="n">
        <v>0.07000000000000001</v>
      </c>
      <c r="E3" s="2" t="inlineStr">
        <is>
          <t>Public streaming benchmark band</t>
        </is>
      </c>
    </row>
    <row r="4">
      <c r="A4" s="2" t="inlineStr">
        <is>
          <t>saas_logo_churn</t>
        </is>
      </c>
      <c r="B4" s="2" t="n">
        <v>0.01</v>
      </c>
      <c r="C4" s="2" t="n">
        <v>0.013</v>
      </c>
      <c r="D4" s="2" t="n">
        <v>0.016</v>
      </c>
      <c r="E4" s="2" t="inlineStr">
        <is>
          <t>ARR-band sensitivity around ChartMogul median</t>
        </is>
      </c>
    </row>
    <row r="5">
      <c r="A5" s="2" t="inlineStr">
        <is>
          <t>saas_cac_ratio</t>
        </is>
      </c>
      <c r="B5" s="2" t="n">
        <v>1.5</v>
      </c>
      <c r="C5" s="2" t="n">
        <v>1.76</v>
      </c>
      <c r="D5" s="2" t="n">
        <v>2.03</v>
      </c>
      <c r="E5" s="2" t="inlineStr">
        <is>
          <t>New customer CAC ratio range</t>
        </is>
      </c>
    </row>
    <row r="6">
      <c r="A6" s="2" t="inlineStr">
        <is>
          <t>saas_gross_margin</t>
        </is>
      </c>
      <c r="B6" s="2" t="n">
        <v>0.7</v>
      </c>
      <c r="C6" s="2" t="n">
        <v>0.72</v>
      </c>
      <c r="D6" s="2" t="n">
        <v>0.8100000000000001</v>
      </c>
      <c r="E6" s="2" t="inlineStr">
        <is>
          <t>Overall to top-quartile SaaS gross margin range</t>
        </is>
      </c>
    </row>
    <row r="7">
      <c r="A7" s="2" t="inlineStr">
        <is>
          <t>streaming_price_growth_annual</t>
        </is>
      </c>
      <c r="B7" s="2" t="n">
        <v>0.03</v>
      </c>
      <c r="C7" s="2" t="n">
        <v>0.05</v>
      </c>
      <c r="D7" s="2" t="n">
        <v>0.08</v>
      </c>
      <c r="E7" s="2" t="inlineStr">
        <is>
          <t>Operator pricing / ARPU growth scenario band</t>
        </is>
      </c>
    </row>
    <row r="8">
      <c r="A8" s="2" t="inlineStr">
        <is>
          <t>saas_price_growth_annual</t>
        </is>
      </c>
      <c r="B8" s="2" t="n">
        <v>0.03</v>
      </c>
      <c r="C8" s="2" t="n">
        <v>0.05</v>
      </c>
      <c r="D8" s="2" t="n">
        <v>0.08</v>
      </c>
      <c r="E8" s="2" t="inlineStr">
        <is>
          <t>Conservative benchmark-aligned pricing scenario band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6" customWidth="1" min="3" max="3"/>
    <col width="23" customWidth="1" min="4" max="4"/>
    <col width="25" customWidth="1" min="5" max="5"/>
  </cols>
  <sheetData>
    <row r="1">
      <c r="A1" s="1" t="inlineStr">
        <is>
          <t>month_since_churn</t>
        </is>
      </c>
      <c r="B1" s="1" t="inlineStr">
        <is>
          <t>voluntary_monthly_rate</t>
        </is>
      </c>
      <c r="C1" s="1" t="inlineStr">
        <is>
          <t>involuntary_monthly_rate</t>
        </is>
      </c>
      <c r="D1" s="1" t="inlineStr">
        <is>
          <t>repeat_voluntary_rate</t>
        </is>
      </c>
      <c r="E1" s="1" t="inlineStr">
        <is>
          <t>repeat_involuntary_rate</t>
        </is>
      </c>
    </row>
    <row r="2">
      <c r="A2" s="2" t="n">
        <v>1</v>
      </c>
      <c r="B2" s="2" t="n">
        <v>0.1</v>
      </c>
      <c r="C2" s="2" t="n">
        <v>0.45</v>
      </c>
      <c r="D2" s="2" t="n">
        <v>0.065</v>
      </c>
      <c r="E2" s="2" t="n">
        <v>0.2925</v>
      </c>
    </row>
    <row r="3">
      <c r="A3" s="2" t="n">
        <v>2</v>
      </c>
      <c r="B3" s="2" t="n">
        <v>0.065</v>
      </c>
      <c r="C3" s="2" t="n">
        <v>0.15</v>
      </c>
      <c r="D3" s="2" t="n">
        <v>0.04225</v>
      </c>
      <c r="E3" s="2" t="n">
        <v>0.0975</v>
      </c>
    </row>
    <row r="4">
      <c r="A4" s="2" t="n">
        <v>3</v>
      </c>
      <c r="B4" s="2" t="n">
        <v>0.065</v>
      </c>
      <c r="C4" s="2" t="n">
        <v>0.07000000000000001</v>
      </c>
      <c r="D4" s="2" t="n">
        <v>0.04225</v>
      </c>
      <c r="E4" s="2" t="n">
        <v>0.04550000000000001</v>
      </c>
    </row>
    <row r="5">
      <c r="A5" s="2" t="n">
        <v>4</v>
      </c>
      <c r="B5" s="2" t="n">
        <v>0.0233333333</v>
      </c>
      <c r="C5" s="2" t="n">
        <v>0.024</v>
      </c>
      <c r="D5" s="2" t="n">
        <v>0.015166666645</v>
      </c>
      <c r="E5" s="2" t="n">
        <v>0.0156</v>
      </c>
    </row>
    <row r="6">
      <c r="A6" s="2" t="n">
        <v>5</v>
      </c>
      <c r="B6" s="2" t="n">
        <v>0.0233333333</v>
      </c>
      <c r="C6" s="2" t="n">
        <v>0</v>
      </c>
      <c r="D6" s="2" t="n">
        <v>0.015166666645</v>
      </c>
      <c r="E6" s="2" t="n">
        <v>0</v>
      </c>
    </row>
    <row r="7">
      <c r="A7" s="2" t="n">
        <v>6</v>
      </c>
      <c r="B7" s="2" t="n">
        <v>0.0233333333</v>
      </c>
      <c r="C7" s="2" t="n">
        <v>0</v>
      </c>
      <c r="D7" s="2" t="n">
        <v>0.015166666645</v>
      </c>
      <c r="E7" s="2" t="n">
        <v>0</v>
      </c>
    </row>
    <row r="8">
      <c r="A8" s="2" t="n">
        <v>7</v>
      </c>
      <c r="B8" s="2" t="n">
        <v>0.0233333333</v>
      </c>
      <c r="C8" s="2" t="n">
        <v>0</v>
      </c>
      <c r="D8" s="2" t="n">
        <v>0.015166666645</v>
      </c>
      <c r="E8" s="2" t="n">
        <v>0</v>
      </c>
    </row>
    <row r="9">
      <c r="A9" s="2" t="n">
        <v>8</v>
      </c>
      <c r="B9" s="2" t="n">
        <v>0.0233333333</v>
      </c>
      <c r="C9" s="2" t="n">
        <v>0</v>
      </c>
      <c r="D9" s="2" t="n">
        <v>0.015166666645</v>
      </c>
      <c r="E9" s="2" t="n">
        <v>0</v>
      </c>
    </row>
    <row r="10">
      <c r="A10" s="2" t="n">
        <v>9</v>
      </c>
      <c r="B10" s="2" t="n">
        <v>0.0233333333</v>
      </c>
      <c r="C10" s="2" t="n">
        <v>0</v>
      </c>
      <c r="D10" s="2" t="n">
        <v>0.015166666645</v>
      </c>
      <c r="E10" s="2" t="n">
        <v>0</v>
      </c>
    </row>
    <row r="11">
      <c r="A11" s="2" t="n">
        <v>10</v>
      </c>
      <c r="B11" s="2" t="n">
        <v>0.0133333333</v>
      </c>
      <c r="C11" s="2" t="n">
        <v>0</v>
      </c>
      <c r="D11" s="2" t="n">
        <v>0.008666666645</v>
      </c>
      <c r="E11" s="2" t="n">
        <v>0</v>
      </c>
    </row>
    <row r="12">
      <c r="A12" s="2" t="n">
        <v>11</v>
      </c>
      <c r="B12" s="2" t="n">
        <v>0.0133333333</v>
      </c>
      <c r="C12" s="2" t="n">
        <v>0</v>
      </c>
      <c r="D12" s="2" t="n">
        <v>0.008666666645</v>
      </c>
      <c r="E12" s="2" t="n">
        <v>0</v>
      </c>
    </row>
    <row r="13">
      <c r="A13" s="2" t="n">
        <v>12</v>
      </c>
      <c r="B13" s="2" t="n">
        <v>0.0133333333</v>
      </c>
      <c r="C13" s="2" t="n">
        <v>0</v>
      </c>
      <c r="D13" s="2" t="n">
        <v>0.008666666645</v>
      </c>
      <c r="E1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2" customWidth="1" min="5" max="5"/>
    <col width="24" customWidth="1" min="6" max="6"/>
    <col width="18" customWidth="1" min="7" max="7"/>
    <col width="23" customWidth="1" min="8" max="8"/>
    <col width="25" customWidth="1" min="9" max="9"/>
    <col width="20" customWidth="1" min="10" max="10"/>
    <col width="21" customWidth="1" min="11" max="11"/>
    <col width="13" customWidth="1" min="12" max="12"/>
    <col width="21" customWidth="1" min="13" max="13"/>
    <col width="17" customWidth="1" min="14" max="14"/>
    <col width="19" customWidth="1" min="15" max="15"/>
    <col width="15" customWidth="1" min="16" max="16"/>
    <col width="15" customWidth="1" min="17" max="17"/>
    <col width="14" customWidth="1" min="18" max="18"/>
    <col width="16" customWidth="1" min="19" max="19"/>
    <col width="26" customWidth="1" min="20" max="20"/>
    <col width="17" customWidth="1" min="21" max="21"/>
    <col width="27" customWidth="1" min="22" max="22"/>
  </cols>
  <sheetData>
    <row r="1">
      <c r="A1" s="1" t="inlineStr">
        <is>
          <t>Month</t>
        </is>
      </c>
      <c r="B1" s="1" t="inlineStr">
        <is>
          <t>Beginning Subs</t>
        </is>
      </c>
      <c r="C1" s="1" t="inlineStr">
        <is>
          <t>ARPU</t>
        </is>
      </c>
      <c r="D1" s="1" t="inlineStr">
        <is>
          <t>New Adds</t>
        </is>
      </c>
      <c r="E1" s="1" t="inlineStr">
        <is>
          <t>Voluntary Churn Subs</t>
        </is>
      </c>
      <c r="F1" s="1" t="inlineStr">
        <is>
          <t>Involuntary Churn Subs</t>
        </is>
      </c>
      <c r="G1" s="1" t="inlineStr">
        <is>
          <t>Gross Churn Subs</t>
        </is>
      </c>
      <c r="H1" s="1" t="inlineStr">
        <is>
          <t>Reactivated Voluntary</t>
        </is>
      </c>
      <c r="I1" s="1" t="inlineStr">
        <is>
          <t>Reactivated Involuntary</t>
        </is>
      </c>
      <c r="J1" s="1" t="inlineStr">
        <is>
          <t>Reactivated Repeat</t>
        </is>
      </c>
      <c r="K1" s="1" t="inlineStr">
        <is>
          <t>Total Reactivations</t>
        </is>
      </c>
      <c r="L1" s="1" t="inlineStr">
        <is>
          <t>Ending Subs</t>
        </is>
      </c>
      <c r="M1" s="1" t="inlineStr">
        <is>
          <t>Gross Expansion MRR</t>
        </is>
      </c>
      <c r="N1" s="1" t="inlineStr">
        <is>
          <t>Contraction MRR</t>
        </is>
      </c>
      <c r="O1" s="1" t="inlineStr">
        <is>
          <t>Net Expansion MRR</t>
        </is>
      </c>
      <c r="P1" s="1" t="inlineStr">
        <is>
          <t>Rate Card MRR</t>
        </is>
      </c>
      <c r="Q1" s="1" t="inlineStr">
        <is>
          <t>Effective MRR</t>
        </is>
      </c>
      <c r="R1" s="1" t="inlineStr">
        <is>
          <t>ARR Run Rate</t>
        </is>
      </c>
      <c r="S1" s="1" t="inlineStr">
        <is>
          <t>Net Churn Rate</t>
        </is>
      </c>
      <c r="T1" s="1" t="inlineStr">
        <is>
          <t>Reactivation Dampening %</t>
        </is>
      </c>
      <c r="U1" s="1" t="inlineStr">
        <is>
          <t>Leakage Applied</t>
        </is>
      </c>
      <c r="V1" s="1" t="inlineStr">
        <is>
          <t>Tail Reactivation Reserve</t>
        </is>
      </c>
    </row>
    <row r="2">
      <c r="A2" s="2" t="n">
        <v>1</v>
      </c>
      <c r="B2" s="2" t="n">
        <v>1252.65</v>
      </c>
      <c r="C2" s="2" t="n">
        <v>9.5777</v>
      </c>
      <c r="D2" s="2" t="n">
        <v>77.18000000000001</v>
      </c>
      <c r="E2" s="2" t="n">
        <v>46.58</v>
      </c>
      <c r="F2" s="2" t="n">
        <v>12.04</v>
      </c>
      <c r="G2" s="2" t="n">
        <v>58.62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1271.2</v>
      </c>
      <c r="M2" s="2" t="n">
        <v>60.81</v>
      </c>
      <c r="N2" s="2" t="n">
        <v>36.95</v>
      </c>
      <c r="O2" s="2" t="n">
        <v>23.86</v>
      </c>
      <c r="P2" s="2" t="n">
        <v>12175.14</v>
      </c>
      <c r="Q2" s="2" t="n">
        <v>11616.3</v>
      </c>
      <c r="R2" s="2" t="n">
        <v>139681.9</v>
      </c>
      <c r="S2" s="2" t="n">
        <v>0.0468</v>
      </c>
      <c r="T2" s="2" t="n">
        <v>0</v>
      </c>
      <c r="U2" s="2" t="n">
        <v>0.0459</v>
      </c>
      <c r="V2" s="2" t="n">
        <v>2.69</v>
      </c>
    </row>
    <row r="3">
      <c r="A3" s="2" t="n">
        <v>2</v>
      </c>
      <c r="B3" s="2" t="n">
        <v>1271.2</v>
      </c>
      <c r="C3" s="2" t="n">
        <v>9.6318</v>
      </c>
      <c r="D3" s="2" t="n">
        <v>73.06</v>
      </c>
      <c r="E3" s="2" t="n">
        <v>46.35</v>
      </c>
      <c r="F3" s="2" t="n">
        <v>12.01</v>
      </c>
      <c r="G3" s="2" t="n">
        <v>58.36</v>
      </c>
      <c r="H3" s="2" t="n">
        <v>4.66</v>
      </c>
      <c r="I3" s="2" t="n">
        <v>5.42</v>
      </c>
      <c r="J3" s="2" t="n">
        <v>0</v>
      </c>
      <c r="K3" s="2" t="n">
        <v>10.08</v>
      </c>
      <c r="L3" s="2" t="n">
        <v>1295.97</v>
      </c>
      <c r="M3" s="2" t="n">
        <v>67.61</v>
      </c>
      <c r="N3" s="2" t="n">
        <v>28.75</v>
      </c>
      <c r="O3" s="2" t="n">
        <v>38.86</v>
      </c>
      <c r="P3" s="2" t="n">
        <v>12482.52</v>
      </c>
      <c r="Q3" s="2" t="n">
        <v>11909.57</v>
      </c>
      <c r="R3" s="2" t="n">
        <v>143381.11</v>
      </c>
      <c r="S3" s="2" t="n">
        <v>0.038</v>
      </c>
      <c r="T3" s="2" t="n">
        <v>0.1727</v>
      </c>
      <c r="U3" s="2" t="n">
        <v>0.0459</v>
      </c>
      <c r="V3" s="2" t="n">
        <v>5.37</v>
      </c>
    </row>
    <row r="4">
      <c r="A4" s="2" t="n">
        <v>3</v>
      </c>
      <c r="B4" s="2" t="n">
        <v>1295.97</v>
      </c>
      <c r="C4" s="2" t="n">
        <v>9.686199999999999</v>
      </c>
      <c r="D4" s="2" t="n">
        <v>72.20999999999999</v>
      </c>
      <c r="E4" s="2" t="n">
        <v>47.41</v>
      </c>
      <c r="F4" s="2" t="n">
        <v>12.28</v>
      </c>
      <c r="G4" s="2" t="n">
        <v>59.69</v>
      </c>
      <c r="H4" s="2" t="n">
        <v>7.66</v>
      </c>
      <c r="I4" s="2" t="n">
        <v>7.21</v>
      </c>
      <c r="J4" s="2" t="n">
        <v>0</v>
      </c>
      <c r="K4" s="2" t="n">
        <v>14.87</v>
      </c>
      <c r="L4" s="2" t="n">
        <v>1323.36</v>
      </c>
      <c r="M4" s="2" t="n">
        <v>69.55</v>
      </c>
      <c r="N4" s="2" t="n">
        <v>29.61</v>
      </c>
      <c r="O4" s="2" t="n">
        <v>39.94</v>
      </c>
      <c r="P4" s="2" t="n">
        <v>12818.33</v>
      </c>
      <c r="Q4" s="2" t="n">
        <v>12229.97</v>
      </c>
      <c r="R4" s="2" t="n">
        <v>147238.94</v>
      </c>
      <c r="S4" s="2" t="n">
        <v>0.0346</v>
      </c>
      <c r="T4" s="2" t="n">
        <v>0.2492</v>
      </c>
      <c r="U4" s="2" t="n">
        <v>0.0459</v>
      </c>
      <c r="V4" s="2" t="n">
        <v>8.07</v>
      </c>
    </row>
    <row r="5">
      <c r="A5" s="2" t="n">
        <v>4</v>
      </c>
      <c r="B5" s="2" t="n">
        <v>1323.36</v>
      </c>
      <c r="C5" s="2" t="n">
        <v>9.7409</v>
      </c>
      <c r="D5" s="2" t="n">
        <v>71.66</v>
      </c>
      <c r="E5" s="2" t="n">
        <v>48.48</v>
      </c>
      <c r="F5" s="2" t="n">
        <v>12.56</v>
      </c>
      <c r="G5" s="2" t="n">
        <v>61.04</v>
      </c>
      <c r="H5" s="2" t="n">
        <v>10.72</v>
      </c>
      <c r="I5" s="2" t="n">
        <v>8.1</v>
      </c>
      <c r="J5" s="2" t="n">
        <v>0.08</v>
      </c>
      <c r="K5" s="2" t="n">
        <v>18.91</v>
      </c>
      <c r="L5" s="2" t="n">
        <v>1352.89</v>
      </c>
      <c r="M5" s="2" t="n">
        <v>71.52</v>
      </c>
      <c r="N5" s="2" t="n">
        <v>30.47</v>
      </c>
      <c r="O5" s="2" t="n">
        <v>41.05</v>
      </c>
      <c r="P5" s="2" t="n">
        <v>13178.38</v>
      </c>
      <c r="Q5" s="2" t="n">
        <v>12573.5</v>
      </c>
      <c r="R5" s="2" t="n">
        <v>151374.58</v>
      </c>
      <c r="S5" s="2" t="n">
        <v>0.0318</v>
      </c>
      <c r="T5" s="2" t="n">
        <v>0.3098</v>
      </c>
      <c r="U5" s="2" t="n">
        <v>0.0459</v>
      </c>
      <c r="V5" s="2" t="n">
        <v>10.83</v>
      </c>
    </row>
    <row r="6">
      <c r="A6" s="2" t="n">
        <v>5</v>
      </c>
      <c r="B6" s="2" t="n">
        <v>1352.89</v>
      </c>
      <c r="C6" s="2" t="n">
        <v>9.7959</v>
      </c>
      <c r="D6" s="2" t="n">
        <v>72.20999999999999</v>
      </c>
      <c r="E6" s="2" t="n">
        <v>49.62</v>
      </c>
      <c r="F6" s="2" t="n">
        <v>12.85</v>
      </c>
      <c r="G6" s="2" t="n">
        <v>62.48</v>
      </c>
      <c r="H6" s="2" t="n">
        <v>11.91</v>
      </c>
      <c r="I6" s="2" t="n">
        <v>8.5</v>
      </c>
      <c r="J6" s="2" t="n">
        <v>0.16</v>
      </c>
      <c r="K6" s="2" t="n">
        <v>20.57</v>
      </c>
      <c r="L6" s="2" t="n">
        <v>1383.19</v>
      </c>
      <c r="M6" s="2" t="n">
        <v>73.62</v>
      </c>
      <c r="N6" s="2" t="n">
        <v>31.38</v>
      </c>
      <c r="O6" s="2" t="n">
        <v>42.25</v>
      </c>
      <c r="P6" s="2" t="n">
        <v>13549.62</v>
      </c>
      <c r="Q6" s="2" t="n">
        <v>12927.69</v>
      </c>
      <c r="R6" s="2" t="n">
        <v>155639.24</v>
      </c>
      <c r="S6" s="2" t="n">
        <v>0.031</v>
      </c>
      <c r="T6" s="2" t="n">
        <v>0.3292</v>
      </c>
      <c r="U6" s="2" t="n">
        <v>0.0459</v>
      </c>
      <c r="V6" s="2" t="n">
        <v>13.27</v>
      </c>
    </row>
    <row r="7">
      <c r="A7" s="2" t="n">
        <v>6</v>
      </c>
      <c r="B7" s="2" t="n">
        <v>1383.19</v>
      </c>
      <c r="C7" s="2" t="n">
        <v>9.8512</v>
      </c>
      <c r="D7" s="2" t="n">
        <v>72.48</v>
      </c>
      <c r="E7" s="2" t="n">
        <v>50.75</v>
      </c>
      <c r="F7" s="2" t="n">
        <v>13.15</v>
      </c>
      <c r="G7" s="2" t="n">
        <v>63.89</v>
      </c>
      <c r="H7" s="2" t="n">
        <v>13.16</v>
      </c>
      <c r="I7" s="2" t="n">
        <v>8.65</v>
      </c>
      <c r="J7" s="2" t="n">
        <v>0.24</v>
      </c>
      <c r="K7" s="2" t="n">
        <v>22.05</v>
      </c>
      <c r="L7" s="2" t="n">
        <v>1413.83</v>
      </c>
      <c r="M7" s="2" t="n">
        <v>75.76000000000001</v>
      </c>
      <c r="N7" s="2" t="n">
        <v>32.29</v>
      </c>
      <c r="O7" s="2" t="n">
        <v>43.47</v>
      </c>
      <c r="P7" s="2" t="n">
        <v>13927.98</v>
      </c>
      <c r="Q7" s="2" t="n">
        <v>13288.68</v>
      </c>
      <c r="R7" s="2" t="n">
        <v>159985.84</v>
      </c>
      <c r="S7" s="2" t="n">
        <v>0.0303</v>
      </c>
      <c r="T7" s="2" t="n">
        <v>0.3451</v>
      </c>
      <c r="U7" s="2" t="n">
        <v>0.0459</v>
      </c>
      <c r="V7" s="2" t="n">
        <v>15.77</v>
      </c>
    </row>
    <row r="8">
      <c r="A8" s="2" t="n">
        <v>7</v>
      </c>
      <c r="B8" s="2" t="n">
        <v>1413.83</v>
      </c>
      <c r="C8" s="2" t="n">
        <v>9.828099999999999</v>
      </c>
      <c r="D8" s="2" t="n">
        <v>72.45999999999999</v>
      </c>
      <c r="E8" s="2" t="n">
        <v>51.88</v>
      </c>
      <c r="F8" s="2" t="n">
        <v>13.44</v>
      </c>
      <c r="G8" s="2" t="n">
        <v>65.31999999999999</v>
      </c>
      <c r="H8" s="2" t="n">
        <v>14.47</v>
      </c>
      <c r="I8" s="2" t="n">
        <v>8.82</v>
      </c>
      <c r="J8" s="2" t="n">
        <v>0.3</v>
      </c>
      <c r="K8" s="2" t="n">
        <v>23.58</v>
      </c>
      <c r="L8" s="2" t="n">
        <v>1444.56</v>
      </c>
      <c r="M8" s="2" t="n">
        <v>77.33</v>
      </c>
      <c r="N8" s="2" t="n">
        <v>46.14</v>
      </c>
      <c r="O8" s="2" t="n">
        <v>31.19</v>
      </c>
      <c r="P8" s="2" t="n">
        <v>14197.26</v>
      </c>
      <c r="Q8" s="2" t="n">
        <v>13545.6</v>
      </c>
      <c r="R8" s="2" t="n">
        <v>162921.54</v>
      </c>
      <c r="S8" s="2" t="n">
        <v>0.0295</v>
      </c>
      <c r="T8" s="2" t="n">
        <v>0.3611</v>
      </c>
      <c r="U8" s="2" t="n">
        <v>0.0459</v>
      </c>
      <c r="V8" s="2" t="n">
        <v>18.33</v>
      </c>
    </row>
    <row r="9">
      <c r="A9" s="2" t="n">
        <v>8</v>
      </c>
      <c r="B9" s="2" t="n">
        <v>1444.56</v>
      </c>
      <c r="C9" s="2" t="n">
        <v>9.883599999999999</v>
      </c>
      <c r="D9" s="2" t="n">
        <v>72.40000000000001</v>
      </c>
      <c r="E9" s="2" t="n">
        <v>53.01</v>
      </c>
      <c r="F9" s="2" t="n">
        <v>13.73</v>
      </c>
      <c r="G9" s="2" t="n">
        <v>66.73999999999999</v>
      </c>
      <c r="H9" s="2" t="n">
        <v>15.81</v>
      </c>
      <c r="I9" s="2" t="n">
        <v>9</v>
      </c>
      <c r="J9" s="2" t="n">
        <v>0.34</v>
      </c>
      <c r="K9" s="2" t="n">
        <v>25.15</v>
      </c>
      <c r="L9" s="2" t="n">
        <v>1475.37</v>
      </c>
      <c r="M9" s="2" t="n">
        <v>79.56</v>
      </c>
      <c r="N9" s="2" t="n">
        <v>33.9</v>
      </c>
      <c r="O9" s="2" t="n">
        <v>45.66</v>
      </c>
      <c r="P9" s="2" t="n">
        <v>14581.97</v>
      </c>
      <c r="Q9" s="2" t="n">
        <v>13912.65</v>
      </c>
      <c r="R9" s="2" t="n">
        <v>167499.78</v>
      </c>
      <c r="S9" s="2" t="n">
        <v>0.0288</v>
      </c>
      <c r="T9" s="2" t="n">
        <v>0.3769</v>
      </c>
      <c r="U9" s="2" t="n">
        <v>0.0459</v>
      </c>
      <c r="V9" s="2" t="n">
        <v>20.94</v>
      </c>
    </row>
    <row r="10">
      <c r="A10" s="2" t="n">
        <v>9</v>
      </c>
      <c r="B10" s="2" t="n">
        <v>1475.37</v>
      </c>
      <c r="C10" s="2" t="n">
        <v>9.939399999999999</v>
      </c>
      <c r="D10" s="2" t="n">
        <v>72.55</v>
      </c>
      <c r="E10" s="2" t="n">
        <v>54.14</v>
      </c>
      <c r="F10" s="2" t="n">
        <v>14.03</v>
      </c>
      <c r="G10" s="2" t="n">
        <v>68.17</v>
      </c>
      <c r="H10" s="2" t="n">
        <v>17.18</v>
      </c>
      <c r="I10" s="2" t="n">
        <v>9.19</v>
      </c>
      <c r="J10" s="2" t="n">
        <v>0.38</v>
      </c>
      <c r="K10" s="2" t="n">
        <v>26.75</v>
      </c>
      <c r="L10" s="2" t="n">
        <v>1506.51</v>
      </c>
      <c r="M10" s="2" t="n">
        <v>81.81999999999999</v>
      </c>
      <c r="N10" s="2" t="n">
        <v>34.86</v>
      </c>
      <c r="O10" s="2" t="n">
        <v>46.96</v>
      </c>
      <c r="P10" s="2" t="n">
        <v>14973.78</v>
      </c>
      <c r="Q10" s="2" t="n">
        <v>14286.48</v>
      </c>
      <c r="R10" s="2" t="n">
        <v>172001.31</v>
      </c>
      <c r="S10" s="2" t="n">
        <v>0.0281</v>
      </c>
      <c r="T10" s="2" t="n">
        <v>0.3924</v>
      </c>
      <c r="U10" s="2" t="n">
        <v>0.0459</v>
      </c>
      <c r="V10" s="2" t="n">
        <v>23.61</v>
      </c>
    </row>
    <row r="11">
      <c r="A11" s="2" t="n">
        <v>10</v>
      </c>
      <c r="B11" s="2" t="n">
        <v>1506.51</v>
      </c>
      <c r="C11" s="2" t="n">
        <v>9.9955</v>
      </c>
      <c r="D11" s="2" t="n">
        <v>73.15000000000001</v>
      </c>
      <c r="E11" s="2" t="n">
        <v>55.29</v>
      </c>
      <c r="F11" s="2" t="n">
        <v>14.32</v>
      </c>
      <c r="G11" s="2" t="n">
        <v>69.62</v>
      </c>
      <c r="H11" s="2" t="n">
        <v>18.58</v>
      </c>
      <c r="I11" s="2" t="n">
        <v>9.380000000000001</v>
      </c>
      <c r="J11" s="2" t="n">
        <v>0.43</v>
      </c>
      <c r="K11" s="2" t="n">
        <v>28.38</v>
      </c>
      <c r="L11" s="2" t="n">
        <v>1538.42</v>
      </c>
      <c r="M11" s="2" t="n">
        <v>84.11</v>
      </c>
      <c r="N11" s="2" t="n">
        <v>35.83</v>
      </c>
      <c r="O11" s="2" t="n">
        <v>48.28</v>
      </c>
      <c r="P11" s="2" t="n">
        <v>15377.29</v>
      </c>
      <c r="Q11" s="2" t="n">
        <v>14671.47</v>
      </c>
      <c r="R11" s="2" t="n">
        <v>176636.96</v>
      </c>
      <c r="S11" s="2" t="n">
        <v>0.0274</v>
      </c>
      <c r="T11" s="2" t="n">
        <v>0.4076</v>
      </c>
      <c r="U11" s="2" t="n">
        <v>0.0459</v>
      </c>
      <c r="V11" s="2" t="n">
        <v>26.33</v>
      </c>
    </row>
    <row r="12">
      <c r="A12" s="2" t="n">
        <v>11</v>
      </c>
      <c r="B12" s="2" t="n">
        <v>1538.42</v>
      </c>
      <c r="C12" s="2" t="n">
        <v>10.052</v>
      </c>
      <c r="D12" s="2" t="n">
        <v>74.59</v>
      </c>
      <c r="E12" s="2" t="n">
        <v>56.48</v>
      </c>
      <c r="F12" s="2" t="n">
        <v>14.63</v>
      </c>
      <c r="G12" s="2" t="n">
        <v>71.11</v>
      </c>
      <c r="H12" s="2" t="n">
        <v>19.53</v>
      </c>
      <c r="I12" s="2" t="n">
        <v>9.57</v>
      </c>
      <c r="J12" s="2" t="n">
        <v>0.47</v>
      </c>
      <c r="K12" s="2" t="n">
        <v>29.57</v>
      </c>
      <c r="L12" s="2" t="n">
        <v>1571.47</v>
      </c>
      <c r="M12" s="2" t="n">
        <v>86.43000000000001</v>
      </c>
      <c r="N12" s="2" t="n">
        <v>36.82</v>
      </c>
      <c r="O12" s="2" t="n">
        <v>49.61</v>
      </c>
      <c r="P12" s="2" t="n">
        <v>15796.38</v>
      </c>
      <c r="Q12" s="2" t="n">
        <v>15071.33</v>
      </c>
      <c r="R12" s="2" t="n">
        <v>181451.25</v>
      </c>
      <c r="S12" s="2" t="n">
        <v>0.027</v>
      </c>
      <c r="T12" s="2" t="n">
        <v>0.4158</v>
      </c>
      <c r="U12" s="2" t="n">
        <v>0.0459</v>
      </c>
      <c r="V12" s="2" t="n">
        <v>29.11</v>
      </c>
    </row>
    <row r="13">
      <c r="A13" s="2" t="n">
        <v>12</v>
      </c>
      <c r="B13" s="2" t="n">
        <v>1571.47</v>
      </c>
      <c r="C13" s="2" t="n">
        <v>10.1088</v>
      </c>
      <c r="D13" s="2" t="n">
        <v>76.58</v>
      </c>
      <c r="E13" s="2" t="n">
        <v>57.7</v>
      </c>
      <c r="F13" s="2" t="n">
        <v>14.95</v>
      </c>
      <c r="G13" s="2" t="n">
        <v>72.65000000000001</v>
      </c>
      <c r="H13" s="2" t="n">
        <v>20.52</v>
      </c>
      <c r="I13" s="2" t="n">
        <v>9.76</v>
      </c>
      <c r="J13" s="2" t="n">
        <v>0.51</v>
      </c>
      <c r="K13" s="2" t="n">
        <v>30.79</v>
      </c>
      <c r="L13" s="2" t="n">
        <v>1606.2</v>
      </c>
      <c r="M13" s="2" t="n">
        <v>88.78</v>
      </c>
      <c r="N13" s="2" t="n">
        <v>37.83</v>
      </c>
      <c r="O13" s="2" t="n">
        <v>50.95</v>
      </c>
      <c r="P13" s="2" t="n">
        <v>16236.63</v>
      </c>
      <c r="Q13" s="2" t="n">
        <v>15491.37</v>
      </c>
      <c r="R13" s="2" t="n">
        <v>186507.86</v>
      </c>
      <c r="S13" s="2" t="n">
        <v>0.0266</v>
      </c>
      <c r="T13" s="2" t="n">
        <v>0.4239</v>
      </c>
      <c r="U13" s="2" t="n">
        <v>0.0459</v>
      </c>
      <c r="V13" s="2" t="n">
        <v>31.94</v>
      </c>
    </row>
    <row r="14">
      <c r="A14" s="2" t="n">
        <v>13</v>
      </c>
      <c r="B14" s="2" t="n">
        <v>1606.2</v>
      </c>
      <c r="C14" s="2" t="n">
        <v>10.085</v>
      </c>
      <c r="D14" s="2" t="n">
        <v>78.95999999999999</v>
      </c>
      <c r="E14" s="2" t="n">
        <v>58.99</v>
      </c>
      <c r="F14" s="2" t="n">
        <v>15.28</v>
      </c>
      <c r="G14" s="2" t="n">
        <v>74.27</v>
      </c>
      <c r="H14" s="2" t="n">
        <v>21.54</v>
      </c>
      <c r="I14" s="2" t="n">
        <v>9.960000000000001</v>
      </c>
      <c r="J14" s="2" t="n">
        <v>0.55</v>
      </c>
      <c r="K14" s="2" t="n">
        <v>32.05</v>
      </c>
      <c r="L14" s="2" t="n">
        <v>1642.94</v>
      </c>
      <c r="M14" s="2" t="n">
        <v>90.48999999999999</v>
      </c>
      <c r="N14" s="2" t="n">
        <v>53.99</v>
      </c>
      <c r="O14" s="2" t="n">
        <v>36.5</v>
      </c>
      <c r="P14" s="2" t="n">
        <v>16568.98</v>
      </c>
      <c r="Q14" s="2" t="n">
        <v>15808.46</v>
      </c>
      <c r="R14" s="2" t="n">
        <v>190139.56</v>
      </c>
      <c r="S14" s="2" t="n">
        <v>0.0263</v>
      </c>
      <c r="T14" s="2" t="n">
        <v>0.4315</v>
      </c>
      <c r="U14" s="2" t="n">
        <v>0.0459</v>
      </c>
      <c r="V14" s="2" t="n">
        <v>32.51</v>
      </c>
    </row>
    <row r="15">
      <c r="A15" s="2" t="n">
        <v>14</v>
      </c>
      <c r="B15" s="2" t="n">
        <v>1642.94</v>
      </c>
      <c r="C15" s="2" t="n">
        <v>10.1419</v>
      </c>
      <c r="D15" s="2" t="n">
        <v>81.86</v>
      </c>
      <c r="E15" s="2" t="n">
        <v>60.36</v>
      </c>
      <c r="F15" s="2" t="n">
        <v>15.64</v>
      </c>
      <c r="G15" s="2" t="n">
        <v>76</v>
      </c>
      <c r="H15" s="2" t="n">
        <v>21.96</v>
      </c>
      <c r="I15" s="2" t="n">
        <v>10.18</v>
      </c>
      <c r="J15" s="2" t="n">
        <v>0.59</v>
      </c>
      <c r="K15" s="2" t="n">
        <v>32.73</v>
      </c>
      <c r="L15" s="2" t="n">
        <v>1681.53</v>
      </c>
      <c r="M15" s="2" t="n">
        <v>93.03</v>
      </c>
      <c r="N15" s="2" t="n">
        <v>39.65</v>
      </c>
      <c r="O15" s="2" t="n">
        <v>53.37</v>
      </c>
      <c r="P15" s="2" t="n">
        <v>17053.94</v>
      </c>
      <c r="Q15" s="2" t="n">
        <v>16271.16</v>
      </c>
      <c r="R15" s="2" t="n">
        <v>195894.41</v>
      </c>
      <c r="S15" s="2" t="n">
        <v>0.0263</v>
      </c>
      <c r="T15" s="2" t="n">
        <v>0.4307</v>
      </c>
      <c r="U15" s="2" t="n">
        <v>0.0459</v>
      </c>
      <c r="V15" s="2" t="n">
        <v>33.15</v>
      </c>
    </row>
    <row r="16">
      <c r="A16" s="2" t="n">
        <v>15</v>
      </c>
      <c r="B16" s="2" t="n">
        <v>1681.53</v>
      </c>
      <c r="C16" s="2" t="n">
        <v>10.1992</v>
      </c>
      <c r="D16" s="2" t="n">
        <v>84.59</v>
      </c>
      <c r="E16" s="2" t="n">
        <v>61.79</v>
      </c>
      <c r="F16" s="2" t="n">
        <v>16.01</v>
      </c>
      <c r="G16" s="2" t="n">
        <v>77.8</v>
      </c>
      <c r="H16" s="2" t="n">
        <v>22.42</v>
      </c>
      <c r="I16" s="2" t="n">
        <v>10.4</v>
      </c>
      <c r="J16" s="2" t="n">
        <v>0.63</v>
      </c>
      <c r="K16" s="2" t="n">
        <v>33.45</v>
      </c>
      <c r="L16" s="2" t="n">
        <v>1721.77</v>
      </c>
      <c r="M16" s="2" t="n">
        <v>95.67</v>
      </c>
      <c r="N16" s="2" t="n">
        <v>40.79</v>
      </c>
      <c r="O16" s="2" t="n">
        <v>54.88</v>
      </c>
      <c r="P16" s="2" t="n">
        <v>17560.66</v>
      </c>
      <c r="Q16" s="2" t="n">
        <v>16754.63</v>
      </c>
      <c r="R16" s="2" t="n">
        <v>201714.11</v>
      </c>
      <c r="S16" s="2" t="n">
        <v>0.0264</v>
      </c>
      <c r="T16" s="2" t="n">
        <v>0.43</v>
      </c>
      <c r="U16" s="2" t="n">
        <v>0.0459</v>
      </c>
      <c r="V16" s="2" t="n">
        <v>33.85</v>
      </c>
    </row>
    <row r="17">
      <c r="A17" s="2" t="n">
        <v>16</v>
      </c>
      <c r="B17" s="2" t="n">
        <v>1721.77</v>
      </c>
      <c r="C17" s="2" t="n">
        <v>10.2568</v>
      </c>
      <c r="D17" s="2" t="n">
        <v>86.89</v>
      </c>
      <c r="E17" s="2" t="n">
        <v>63.28</v>
      </c>
      <c r="F17" s="2" t="n">
        <v>16.39</v>
      </c>
      <c r="G17" s="2" t="n">
        <v>79.67</v>
      </c>
      <c r="H17" s="2" t="n">
        <v>22.91</v>
      </c>
      <c r="I17" s="2" t="n">
        <v>10.64</v>
      </c>
      <c r="J17" s="2" t="n">
        <v>0.66</v>
      </c>
      <c r="K17" s="2" t="n">
        <v>34.21</v>
      </c>
      <c r="L17" s="2" t="n">
        <v>1763.2</v>
      </c>
      <c r="M17" s="2" t="n">
        <v>98.45</v>
      </c>
      <c r="N17" s="2" t="n">
        <v>41.98</v>
      </c>
      <c r="O17" s="2" t="n">
        <v>56.47</v>
      </c>
      <c r="P17" s="2" t="n">
        <v>18084.8</v>
      </c>
      <c r="Q17" s="2" t="n">
        <v>17254.71</v>
      </c>
      <c r="R17" s="2" t="n">
        <v>207734.14</v>
      </c>
      <c r="S17" s="2" t="n">
        <v>0.0264</v>
      </c>
      <c r="T17" s="2" t="n">
        <v>0.4294</v>
      </c>
      <c r="U17" s="2" t="n">
        <v>0.0459</v>
      </c>
      <c r="V17" s="2" t="n">
        <v>34.57</v>
      </c>
    </row>
    <row r="18">
      <c r="A18" s="2" t="n">
        <v>17</v>
      </c>
      <c r="B18" s="2" t="n">
        <v>1763.2</v>
      </c>
      <c r="C18" s="2" t="n">
        <v>10.3147</v>
      </c>
      <c r="D18" s="2" t="n">
        <v>88.64</v>
      </c>
      <c r="E18" s="2" t="n">
        <v>64.8</v>
      </c>
      <c r="F18" s="2" t="n">
        <v>16.79</v>
      </c>
      <c r="G18" s="2" t="n">
        <v>81.59</v>
      </c>
      <c r="H18" s="2" t="n">
        <v>23.43</v>
      </c>
      <c r="I18" s="2" t="n">
        <v>10.9</v>
      </c>
      <c r="J18" s="2" t="n">
        <v>0.68</v>
      </c>
      <c r="K18" s="2" t="n">
        <v>35</v>
      </c>
      <c r="L18" s="2" t="n">
        <v>1805.25</v>
      </c>
      <c r="M18" s="2" t="n">
        <v>101.37</v>
      </c>
      <c r="N18" s="2" t="n">
        <v>43.23</v>
      </c>
      <c r="O18" s="2" t="n">
        <v>58.14</v>
      </c>
      <c r="P18" s="2" t="n">
        <v>18620.64</v>
      </c>
      <c r="Q18" s="2" t="n">
        <v>17765.96</v>
      </c>
      <c r="R18" s="2" t="n">
        <v>213889.17</v>
      </c>
      <c r="S18" s="2" t="n">
        <v>0.0264</v>
      </c>
      <c r="T18" s="2" t="n">
        <v>0.429</v>
      </c>
      <c r="U18" s="2" t="n">
        <v>0.0459</v>
      </c>
      <c r="V18" s="2" t="n">
        <v>35.33</v>
      </c>
    </row>
    <row r="19">
      <c r="A19" s="2" t="n">
        <v>18</v>
      </c>
      <c r="B19" s="2" t="n">
        <v>1805.25</v>
      </c>
      <c r="C19" s="2" t="n">
        <v>10.3729</v>
      </c>
      <c r="D19" s="2" t="n">
        <v>89.83</v>
      </c>
      <c r="E19" s="2" t="n">
        <v>66.34</v>
      </c>
      <c r="F19" s="2" t="n">
        <v>17.19</v>
      </c>
      <c r="G19" s="2" t="n">
        <v>83.53</v>
      </c>
      <c r="H19" s="2" t="n">
        <v>23.96</v>
      </c>
      <c r="I19" s="2" t="n">
        <v>11.16</v>
      </c>
      <c r="J19" s="2" t="n">
        <v>0.7</v>
      </c>
      <c r="K19" s="2" t="n">
        <v>35.82</v>
      </c>
      <c r="L19" s="2" t="n">
        <v>1847.38</v>
      </c>
      <c r="M19" s="2" t="n">
        <v>104.4</v>
      </c>
      <c r="N19" s="2" t="n">
        <v>44.52</v>
      </c>
      <c r="O19" s="2" t="n">
        <v>59.88</v>
      </c>
      <c r="P19" s="2" t="n">
        <v>19162.73</v>
      </c>
      <c r="Q19" s="2" t="n">
        <v>18283.16</v>
      </c>
      <c r="R19" s="2" t="n">
        <v>220116.57</v>
      </c>
      <c r="S19" s="2" t="n">
        <v>0.0264</v>
      </c>
      <c r="T19" s="2" t="n">
        <v>0.4288</v>
      </c>
      <c r="U19" s="2" t="n">
        <v>0.0459</v>
      </c>
      <c r="V19" s="2" t="n">
        <v>36.12</v>
      </c>
    </row>
    <row r="20">
      <c r="A20" s="2" t="n">
        <v>19</v>
      </c>
      <c r="B20" s="2" t="n">
        <v>1847.38</v>
      </c>
      <c r="C20" s="2" t="n">
        <v>10.3485</v>
      </c>
      <c r="D20" s="2" t="n">
        <v>90.66</v>
      </c>
      <c r="E20" s="2" t="n">
        <v>67.88</v>
      </c>
      <c r="F20" s="2" t="n">
        <v>17.58</v>
      </c>
      <c r="G20" s="2" t="n">
        <v>85.45999999999999</v>
      </c>
      <c r="H20" s="2" t="n">
        <v>24.51</v>
      </c>
      <c r="I20" s="2" t="n">
        <v>11.43</v>
      </c>
      <c r="J20" s="2" t="n">
        <v>0.72</v>
      </c>
      <c r="K20" s="2" t="n">
        <v>36.66</v>
      </c>
      <c r="L20" s="2" t="n">
        <v>1889.23</v>
      </c>
      <c r="M20" s="2" t="n">
        <v>106.65</v>
      </c>
      <c r="N20" s="2" t="n">
        <v>63.66</v>
      </c>
      <c r="O20" s="2" t="n">
        <v>43</v>
      </c>
      <c r="P20" s="2" t="n">
        <v>19550.72</v>
      </c>
      <c r="Q20" s="2" t="n">
        <v>18653.35</v>
      </c>
      <c r="R20" s="2" t="n">
        <v>224356.1</v>
      </c>
      <c r="S20" s="2" t="n">
        <v>0.0264</v>
      </c>
      <c r="T20" s="2" t="n">
        <v>0.4289</v>
      </c>
      <c r="U20" s="2" t="n">
        <v>0.0459</v>
      </c>
      <c r="V20" s="2" t="n">
        <v>36.92</v>
      </c>
    </row>
    <row r="21">
      <c r="A21" s="2" t="n">
        <v>20</v>
      </c>
      <c r="B21" s="2" t="n">
        <v>1889.23</v>
      </c>
      <c r="C21" s="2" t="n">
        <v>10.407</v>
      </c>
      <c r="D21" s="2" t="n">
        <v>91.41</v>
      </c>
      <c r="E21" s="2" t="n">
        <v>69.40000000000001</v>
      </c>
      <c r="F21" s="2" t="n">
        <v>17.98</v>
      </c>
      <c r="G21" s="2" t="n">
        <v>87.38</v>
      </c>
      <c r="H21" s="2" t="n">
        <v>25.07</v>
      </c>
      <c r="I21" s="2" t="n">
        <v>11.69</v>
      </c>
      <c r="J21" s="2" t="n">
        <v>0.74</v>
      </c>
      <c r="K21" s="2" t="n">
        <v>37.51</v>
      </c>
      <c r="L21" s="2" t="n">
        <v>1930.76</v>
      </c>
      <c r="M21" s="2" t="n">
        <v>109.78</v>
      </c>
      <c r="N21" s="2" t="n">
        <v>46.79</v>
      </c>
      <c r="O21" s="2" t="n">
        <v>62.99</v>
      </c>
      <c r="P21" s="2" t="n">
        <v>20093.33</v>
      </c>
      <c r="Q21" s="2" t="n">
        <v>19171.05</v>
      </c>
      <c r="R21" s="2" t="n">
        <v>230808.47</v>
      </c>
      <c r="S21" s="2" t="n">
        <v>0.0264</v>
      </c>
      <c r="T21" s="2" t="n">
        <v>0.4292</v>
      </c>
      <c r="U21" s="2" t="n">
        <v>0.0459</v>
      </c>
      <c r="V21" s="2" t="n">
        <v>37.75</v>
      </c>
    </row>
    <row r="22">
      <c r="A22" s="2" t="n">
        <v>21</v>
      </c>
      <c r="B22" s="2" t="n">
        <v>1930.76</v>
      </c>
      <c r="C22" s="2" t="n">
        <v>10.4657</v>
      </c>
      <c r="D22" s="2" t="n">
        <v>92.42</v>
      </c>
      <c r="E22" s="2" t="n">
        <v>70.91</v>
      </c>
      <c r="F22" s="2" t="n">
        <v>18.37</v>
      </c>
      <c r="G22" s="2" t="n">
        <v>89.29000000000001</v>
      </c>
      <c r="H22" s="2" t="n">
        <v>25.64</v>
      </c>
      <c r="I22" s="2" t="n">
        <v>11.96</v>
      </c>
      <c r="J22" s="2" t="n">
        <v>0.76</v>
      </c>
      <c r="K22" s="2" t="n">
        <v>38.36</v>
      </c>
      <c r="L22" s="2" t="n">
        <v>1972.25</v>
      </c>
      <c r="M22" s="2" t="n">
        <v>112.93</v>
      </c>
      <c r="N22" s="2" t="n">
        <v>48.13</v>
      </c>
      <c r="O22" s="2" t="n">
        <v>64.8</v>
      </c>
      <c r="P22" s="2" t="n">
        <v>20641.12</v>
      </c>
      <c r="Q22" s="2" t="n">
        <v>19693.69</v>
      </c>
      <c r="R22" s="2" t="n">
        <v>237101.97</v>
      </c>
      <c r="S22" s="2" t="n">
        <v>0.0264</v>
      </c>
      <c r="T22" s="2" t="n">
        <v>0.4297</v>
      </c>
      <c r="U22" s="2" t="n">
        <v>0.0459</v>
      </c>
      <c r="V22" s="2" t="n">
        <v>38.6</v>
      </c>
    </row>
    <row r="23">
      <c r="A23" s="2" t="n">
        <v>22</v>
      </c>
      <c r="B23" s="2" t="n">
        <v>1972.25</v>
      </c>
      <c r="C23" s="2" t="n">
        <v>10.5249</v>
      </c>
      <c r="D23" s="2" t="n">
        <v>93.98999999999999</v>
      </c>
      <c r="E23" s="2" t="n">
        <v>72.43000000000001</v>
      </c>
      <c r="F23" s="2" t="n">
        <v>18.76</v>
      </c>
      <c r="G23" s="2" t="n">
        <v>91.19</v>
      </c>
      <c r="H23" s="2" t="n">
        <v>26.22</v>
      </c>
      <c r="I23" s="2" t="n">
        <v>12.22</v>
      </c>
      <c r="J23" s="2" t="n">
        <v>0.78</v>
      </c>
      <c r="K23" s="2" t="n">
        <v>39.22</v>
      </c>
      <c r="L23" s="2" t="n">
        <v>2014.28</v>
      </c>
      <c r="M23" s="2" t="n">
        <v>116.09</v>
      </c>
      <c r="N23" s="2" t="n">
        <v>49.46</v>
      </c>
      <c r="O23" s="2" t="n">
        <v>66.62</v>
      </c>
      <c r="P23" s="2" t="n">
        <v>21200</v>
      </c>
      <c r="Q23" s="2" t="n">
        <v>20226.92</v>
      </c>
      <c r="R23" s="2" t="n">
        <v>243522.5</v>
      </c>
      <c r="S23" s="2" t="n">
        <v>0.0263</v>
      </c>
      <c r="T23" s="2" t="n">
        <v>0.4301</v>
      </c>
      <c r="U23" s="2" t="n">
        <v>0.0459</v>
      </c>
      <c r="V23" s="2" t="n">
        <v>39.47</v>
      </c>
    </row>
    <row r="24">
      <c r="A24" s="2" t="n">
        <v>23</v>
      </c>
      <c r="B24" s="2" t="n">
        <v>2014.28</v>
      </c>
      <c r="C24" s="2" t="n">
        <v>10.5843</v>
      </c>
      <c r="D24" s="2" t="n">
        <v>96.28</v>
      </c>
      <c r="E24" s="2" t="n">
        <v>73.97</v>
      </c>
      <c r="F24" s="2" t="n">
        <v>19.16</v>
      </c>
      <c r="G24" s="2" t="n">
        <v>93.13</v>
      </c>
      <c r="H24" s="2" t="n">
        <v>26.8</v>
      </c>
      <c r="I24" s="2" t="n">
        <v>12.49</v>
      </c>
      <c r="J24" s="2" t="n">
        <v>0.8</v>
      </c>
      <c r="K24" s="2" t="n">
        <v>40.09</v>
      </c>
      <c r="L24" s="2" t="n">
        <v>2057.52</v>
      </c>
      <c r="M24" s="2" t="n">
        <v>119.26</v>
      </c>
      <c r="N24" s="2" t="n">
        <v>50.81</v>
      </c>
      <c r="O24" s="2" t="n">
        <v>68.45</v>
      </c>
      <c r="P24" s="2" t="n">
        <v>21777.41</v>
      </c>
      <c r="Q24" s="2" t="n">
        <v>20777.83</v>
      </c>
      <c r="R24" s="2" t="n">
        <v>250155.31</v>
      </c>
      <c r="S24" s="2" t="n">
        <v>0.0263</v>
      </c>
      <c r="T24" s="2" t="n">
        <v>0.4305</v>
      </c>
      <c r="U24" s="2" t="n">
        <v>0.0459</v>
      </c>
      <c r="V24" s="2" t="n">
        <v>40.36</v>
      </c>
    </row>
    <row r="25">
      <c r="A25" s="2" t="n">
        <v>24</v>
      </c>
      <c r="B25" s="2" t="n">
        <v>2057.52</v>
      </c>
      <c r="C25" s="2" t="n">
        <v>10.6441</v>
      </c>
      <c r="D25" s="2" t="n">
        <v>99.27</v>
      </c>
      <c r="E25" s="2" t="n">
        <v>75.56</v>
      </c>
      <c r="F25" s="2" t="n">
        <v>19.58</v>
      </c>
      <c r="G25" s="2" t="n">
        <v>95.14</v>
      </c>
      <c r="H25" s="2" t="n">
        <v>27.4</v>
      </c>
      <c r="I25" s="2" t="n">
        <v>12.75</v>
      </c>
      <c r="J25" s="2" t="n">
        <v>0.82</v>
      </c>
      <c r="K25" s="2" t="n">
        <v>40.97</v>
      </c>
      <c r="L25" s="2" t="n">
        <v>2102.62</v>
      </c>
      <c r="M25" s="2" t="n">
        <v>122.49</v>
      </c>
      <c r="N25" s="2" t="n">
        <v>52.19</v>
      </c>
      <c r="O25" s="2" t="n">
        <v>70.3</v>
      </c>
      <c r="P25" s="2" t="n">
        <v>22380.45</v>
      </c>
      <c r="Q25" s="2" t="n">
        <v>21353.19</v>
      </c>
      <c r="R25" s="2" t="n">
        <v>257081.85</v>
      </c>
      <c r="S25" s="2" t="n">
        <v>0.0263</v>
      </c>
      <c r="T25" s="2" t="n">
        <v>0.4307</v>
      </c>
      <c r="U25" s="2" t="n">
        <v>0.0459</v>
      </c>
      <c r="V25" s="2" t="n">
        <v>41.27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7" customWidth="1" min="3" max="3"/>
    <col width="23" customWidth="1" min="4" max="4"/>
    <col width="13" customWidth="1" min="5" max="5"/>
    <col width="22" customWidth="1" min="6" max="6"/>
    <col width="21" customWidth="1" min="7" max="7"/>
    <col width="30" customWidth="1" min="8" max="8"/>
  </cols>
  <sheetData>
    <row r="1">
      <c r="A1" s="1" t="inlineStr">
        <is>
          <t>Scenario</t>
        </is>
      </c>
      <c r="B1" s="1" t="inlineStr">
        <is>
          <t>Gross Churn Assumption</t>
        </is>
      </c>
      <c r="C1" s="1" t="inlineStr">
        <is>
          <t>Billing Leakage</t>
        </is>
      </c>
      <c r="D1" s="1" t="inlineStr">
        <is>
          <t>Month24 Effective MRR</t>
        </is>
      </c>
      <c r="E1" s="1" t="inlineStr">
        <is>
          <t>Month24 ARR</t>
        </is>
      </c>
      <c r="F1" s="1" t="inlineStr">
        <is>
          <t>Avg Net Churn Rate</t>
        </is>
      </c>
      <c r="G1" s="1" t="inlineStr">
        <is>
          <t>Total Reactivations</t>
        </is>
      </c>
      <c r="H1" s="1" t="inlineStr">
        <is>
          <t>Avg Reactivation Dampening %</t>
        </is>
      </c>
    </row>
    <row r="2">
      <c r="A2" s="2" t="inlineStr">
        <is>
          <t>churn_2.0%_leakage_2.0%</t>
        </is>
      </c>
      <c r="B2" s="2" t="n">
        <v>0.02</v>
      </c>
      <c r="C2" s="2" t="n">
        <v>0.02</v>
      </c>
      <c r="D2" s="2" t="n">
        <v>19010.13</v>
      </c>
      <c r="E2" s="2" t="n">
        <v>228889.57</v>
      </c>
      <c r="F2" s="2" t="n">
        <v>0.01129583333333333</v>
      </c>
      <c r="G2" s="2" t="n">
        <v>257.03</v>
      </c>
      <c r="H2" s="2" t="n">
        <v>0.3815208333333333</v>
      </c>
    </row>
    <row r="3">
      <c r="A3" s="2" t="inlineStr">
        <is>
          <t>churn_2.0%_leakage_4.6%</t>
        </is>
      </c>
      <c r="B3" s="2" t="n">
        <v>0.02</v>
      </c>
      <c r="C3" s="2" t="n">
        <v>0.0459</v>
      </c>
      <c r="D3" s="2" t="n">
        <v>18507.72</v>
      </c>
      <c r="E3" s="2" t="n">
        <v>222860.64</v>
      </c>
      <c r="F3" s="2" t="n">
        <v>0.01129583333333333</v>
      </c>
      <c r="G3" s="2" t="n">
        <v>257.03</v>
      </c>
      <c r="H3" s="2" t="n">
        <v>0.3815208333333333</v>
      </c>
    </row>
    <row r="4">
      <c r="A4" s="2" t="inlineStr">
        <is>
          <t>churn_2.0%_leakage_8.0%</t>
        </is>
      </c>
      <c r="B4" s="2" t="n">
        <v>0.02</v>
      </c>
      <c r="C4" s="2" t="n">
        <v>0.08</v>
      </c>
      <c r="D4" s="2" t="n">
        <v>17846.24</v>
      </c>
      <c r="E4" s="2" t="n">
        <v>214922.94</v>
      </c>
      <c r="F4" s="2" t="n">
        <v>0.01129583333333333</v>
      </c>
      <c r="G4" s="2" t="n">
        <v>257.03</v>
      </c>
      <c r="H4" s="2" t="n">
        <v>0.3815208333333333</v>
      </c>
    </row>
    <row r="5">
      <c r="A5" s="2" t="inlineStr">
        <is>
          <t>churn_5.0%_leakage_2.0%</t>
        </is>
      </c>
      <c r="B5" s="2" t="n">
        <v>0.05</v>
      </c>
      <c r="C5" s="2" t="n">
        <v>0.02</v>
      </c>
      <c r="D5" s="2" t="n">
        <v>21932.84</v>
      </c>
      <c r="E5" s="2" t="n">
        <v>264037.7</v>
      </c>
      <c r="F5" s="2" t="n">
        <v>0.02900833333333333</v>
      </c>
      <c r="G5" s="2" t="n">
        <v>686.77</v>
      </c>
      <c r="H5" s="2" t="n">
        <v>0.3725916666666667</v>
      </c>
    </row>
    <row r="6">
      <c r="A6" s="2" t="inlineStr">
        <is>
          <t>churn_5.0%_leakage_4.6%</t>
        </is>
      </c>
      <c r="B6" s="2" t="n">
        <v>0.05</v>
      </c>
      <c r="C6" s="2" t="n">
        <v>0.0459</v>
      </c>
      <c r="D6" s="2" t="n">
        <v>21353.19</v>
      </c>
      <c r="E6" s="2" t="n">
        <v>257081.85</v>
      </c>
      <c r="F6" s="2" t="n">
        <v>0.02900833333333333</v>
      </c>
      <c r="G6" s="2" t="n">
        <v>686.77</v>
      </c>
      <c r="H6" s="2" t="n">
        <v>0.3725916666666667</v>
      </c>
    </row>
    <row r="7">
      <c r="A7" s="2" t="inlineStr">
        <is>
          <t>churn_5.0%_leakage_8.0%</t>
        </is>
      </c>
      <c r="B7" s="2" t="n">
        <v>0.05</v>
      </c>
      <c r="C7" s="2" t="n">
        <v>0.08</v>
      </c>
      <c r="D7" s="2" t="n">
        <v>20590.02</v>
      </c>
      <c r="E7" s="2" t="n">
        <v>247923.77</v>
      </c>
      <c r="F7" s="2" t="n">
        <v>0.02900833333333333</v>
      </c>
      <c r="G7" s="2" t="n">
        <v>686.77</v>
      </c>
      <c r="H7" s="2" t="n">
        <v>0.3725916666666667</v>
      </c>
    </row>
    <row r="8">
      <c r="A8" s="2" t="inlineStr">
        <is>
          <t>churn_7.0%_leakage_2.0%</t>
        </is>
      </c>
      <c r="B8" s="2" t="n">
        <v>0.07000000000000001</v>
      </c>
      <c r="C8" s="2" t="n">
        <v>0.02</v>
      </c>
      <c r="D8" s="2" t="n">
        <v>23949.64</v>
      </c>
      <c r="E8" s="2" t="n">
        <v>288287</v>
      </c>
      <c r="F8" s="2" t="n">
        <v>0.0413</v>
      </c>
      <c r="G8" s="2" t="n">
        <v>1003.35</v>
      </c>
      <c r="H8" s="2" t="n">
        <v>0.3671958333333333</v>
      </c>
    </row>
    <row r="9">
      <c r="A9" s="2" t="inlineStr">
        <is>
          <t>churn_7.0%_leakage_4.6%</t>
        </is>
      </c>
      <c r="B9" s="2" t="n">
        <v>0.07000000000000001</v>
      </c>
      <c r="C9" s="2" t="n">
        <v>0.0459</v>
      </c>
      <c r="D9" s="2" t="n">
        <v>23316.68</v>
      </c>
      <c r="E9" s="2" t="n">
        <v>280691.54</v>
      </c>
      <c r="F9" s="2" t="n">
        <v>0.0413</v>
      </c>
      <c r="G9" s="2" t="n">
        <v>1003.35</v>
      </c>
      <c r="H9" s="2" t="n">
        <v>0.3671958333333333</v>
      </c>
    </row>
    <row r="10">
      <c r="A10" s="2" t="inlineStr">
        <is>
          <t>churn_7.0%_leakage_8.0%</t>
        </is>
      </c>
      <c r="B10" s="2" t="n">
        <v>0.07000000000000001</v>
      </c>
      <c r="C10" s="2" t="n">
        <v>0.08</v>
      </c>
      <c r="D10" s="2" t="n">
        <v>22483.33</v>
      </c>
      <c r="E10" s="2" t="n">
        <v>270691.34</v>
      </c>
      <c r="F10" s="2" t="n">
        <v>0.0413</v>
      </c>
      <c r="G10" s="2" t="n">
        <v>1003.35</v>
      </c>
      <c r="H10" s="2" t="n">
        <v>0.3671958333333333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5" customWidth="1" min="4" max="4"/>
    <col width="20" customWidth="1" min="5" max="5"/>
    <col width="14" customWidth="1" min="6" max="6"/>
    <col width="27" customWidth="1" min="7" max="7"/>
    <col width="29" customWidth="1" min="8" max="8"/>
    <col width="28" customWidth="1" min="9" max="9"/>
    <col width="23" customWidth="1" min="10" max="10"/>
    <col width="12" customWidth="1" min="11" max="11"/>
    <col width="21" customWidth="1" min="12" max="12"/>
    <col width="17" customWidth="1" min="13" max="13"/>
    <col width="19" customWidth="1" min="14" max="14"/>
    <col width="18" customWidth="1" min="15" max="15"/>
    <col width="12" customWidth="1" min="16" max="16"/>
    <col width="12" customWidth="1" min="17" max="17"/>
    <col width="16" customWidth="1" min="18" max="18"/>
    <col width="24" customWidth="1" min="19" max="19"/>
    <col width="12" customWidth="1" min="20" max="20"/>
    <col width="12" customWidth="1" min="21" max="21"/>
    <col width="12" customWidth="1" min="22" max="22"/>
    <col width="23" customWidth="1" min="23" max="23"/>
    <col width="22" customWidth="1" min="24" max="24"/>
    <col width="17" customWidth="1" min="25" max="25"/>
    <col width="27" customWidth="1" min="26" max="26"/>
  </cols>
  <sheetData>
    <row r="1">
      <c r="A1" s="1" t="inlineStr">
        <is>
          <t>Month</t>
        </is>
      </c>
      <c r="B1" s="1" t="inlineStr">
        <is>
          <t>Beginning Customers</t>
        </is>
      </c>
      <c r="C1" s="1" t="inlineStr">
        <is>
          <t>ARPA Monthly</t>
        </is>
      </c>
      <c r="D1" s="1" t="inlineStr">
        <is>
          <t>Beginning ARR</t>
        </is>
      </c>
      <c r="E1" s="1" t="inlineStr">
        <is>
          <t>New Logo Customers</t>
        </is>
      </c>
      <c r="F1" s="1" t="inlineStr">
        <is>
          <t>New Logo ARR</t>
        </is>
      </c>
      <c r="G1" s="1" t="inlineStr">
        <is>
          <t>Voluntary Churn Customers</t>
        </is>
      </c>
      <c r="H1" s="1" t="inlineStr">
        <is>
          <t>Involuntary Churn Customers</t>
        </is>
      </c>
      <c r="I1" s="1" t="inlineStr">
        <is>
          <t>Gross Logo Churn Customers</t>
        </is>
      </c>
      <c r="J1" s="1" t="inlineStr">
        <is>
          <t>Reactivated Customers</t>
        </is>
      </c>
      <c r="K1" s="1" t="inlineStr">
        <is>
          <t>Renewals</t>
        </is>
      </c>
      <c r="L1" s="1" t="inlineStr">
        <is>
          <t>Gross Expansion ARR</t>
        </is>
      </c>
      <c r="M1" s="1" t="inlineStr">
        <is>
          <t>Contraction ARR</t>
        </is>
      </c>
      <c r="N1" s="1" t="inlineStr">
        <is>
          <t>Net Expansion ARR</t>
        </is>
      </c>
      <c r="O1" s="1" t="inlineStr">
        <is>
          <t>Ending Customers</t>
        </is>
      </c>
      <c r="P1" s="1" t="inlineStr">
        <is>
          <t>Ending ARR</t>
        </is>
      </c>
      <c r="Q1" s="1" t="inlineStr">
        <is>
          <t>Ending MRR</t>
        </is>
      </c>
      <c r="R1" s="1" t="inlineStr">
        <is>
          <t>Retention Rate</t>
        </is>
      </c>
      <c r="S1" s="1" t="inlineStr">
        <is>
          <t>Net Revenue Churn Rate</t>
        </is>
      </c>
      <c r="T1" s="1" t="inlineStr">
        <is>
          <t>NRR</t>
        </is>
      </c>
      <c r="U1" s="1" t="inlineStr">
        <is>
          <t>ACV</t>
        </is>
      </c>
      <c r="V1" s="1" t="inlineStr">
        <is>
          <t>TCV</t>
        </is>
      </c>
      <c r="W1" s="1" t="inlineStr">
        <is>
          <t>Subscription Bookings</t>
        </is>
      </c>
      <c r="X1" s="1" t="inlineStr">
        <is>
          <t>CAC per New Customer</t>
        </is>
      </c>
      <c r="Y1" s="1" t="inlineStr">
        <is>
          <t>Total CAC Spend</t>
        </is>
      </c>
      <c r="Z1" s="1" t="inlineStr">
        <is>
          <t>Tail Reactivation Reserve</t>
        </is>
      </c>
    </row>
    <row r="2">
      <c r="A2" s="2" t="n">
        <v>1</v>
      </c>
      <c r="B2" s="2" t="n">
        <v>166.67</v>
      </c>
      <c r="C2" s="2" t="n">
        <v>1000.07</v>
      </c>
      <c r="D2" s="2" t="n">
        <v>2000000</v>
      </c>
      <c r="E2" s="2" t="n">
        <v>2.92</v>
      </c>
      <c r="F2" s="2" t="n">
        <v>35084</v>
      </c>
      <c r="G2" s="2" t="n">
        <v>1.52</v>
      </c>
      <c r="H2" s="2" t="n">
        <v>0.27</v>
      </c>
      <c r="I2" s="2" t="n">
        <v>1.79</v>
      </c>
      <c r="J2" s="2" t="n">
        <v>0</v>
      </c>
      <c r="K2" s="2" t="n">
        <v>164.88</v>
      </c>
      <c r="L2" s="2" t="n">
        <v>40760.53</v>
      </c>
      <c r="M2" s="2" t="n">
        <v>23744</v>
      </c>
      <c r="N2" s="2" t="n">
        <v>17016.53</v>
      </c>
      <c r="O2" s="2" t="n">
        <v>167.8</v>
      </c>
      <c r="P2" s="2" t="n">
        <v>2030767.19</v>
      </c>
      <c r="Q2" s="2" t="n">
        <v>169230.6</v>
      </c>
      <c r="R2" s="2" t="n">
        <v>0.9893</v>
      </c>
      <c r="S2" s="2" t="n">
        <v>0.0022</v>
      </c>
      <c r="T2" s="2" t="n">
        <v>0.9978</v>
      </c>
      <c r="U2" s="2" t="n">
        <v>12000.89</v>
      </c>
      <c r="V2" s="2" t="n">
        <v>18001.33</v>
      </c>
      <c r="W2" s="2" t="n">
        <v>35084</v>
      </c>
      <c r="X2" s="2" t="n">
        <v>21121.57</v>
      </c>
      <c r="Y2" s="2" t="n">
        <v>61747.84</v>
      </c>
      <c r="Z2" s="2" t="n">
        <v>0.13</v>
      </c>
    </row>
    <row r="3">
      <c r="A3" s="2" t="n">
        <v>2</v>
      </c>
      <c r="B3" s="2" t="n">
        <v>167.8</v>
      </c>
      <c r="C3" s="2" t="n">
        <v>1004.15</v>
      </c>
      <c r="D3" s="2" t="n">
        <v>2013750.66</v>
      </c>
      <c r="E3" s="2" t="n">
        <v>2.45</v>
      </c>
      <c r="F3" s="2" t="n">
        <v>29470.84</v>
      </c>
      <c r="G3" s="2" t="n">
        <v>1.47</v>
      </c>
      <c r="H3" s="2" t="n">
        <v>0.26</v>
      </c>
      <c r="I3" s="2" t="n">
        <v>1.73</v>
      </c>
      <c r="J3" s="2" t="n">
        <v>0.13</v>
      </c>
      <c r="K3" s="2" t="n">
        <v>166.07</v>
      </c>
      <c r="L3" s="2" t="n">
        <v>41884.5</v>
      </c>
      <c r="M3" s="2" t="n">
        <v>20011.41</v>
      </c>
      <c r="N3" s="2" t="n">
        <v>21873.09</v>
      </c>
      <c r="O3" s="2" t="n">
        <v>168.64</v>
      </c>
      <c r="P3" s="2" t="n">
        <v>2053999.92</v>
      </c>
      <c r="Q3" s="2" t="n">
        <v>171166.66</v>
      </c>
      <c r="R3" s="2" t="n">
        <v>0.9897</v>
      </c>
      <c r="S3" s="2" t="n">
        <v>-0.0013</v>
      </c>
      <c r="T3" s="2" t="n">
        <v>1.0013</v>
      </c>
      <c r="U3" s="2" t="n">
        <v>12049.78</v>
      </c>
      <c r="V3" s="2" t="n">
        <v>18074.67</v>
      </c>
      <c r="W3" s="2" t="n">
        <v>29470.84</v>
      </c>
      <c r="X3" s="2" t="n">
        <v>21207.62</v>
      </c>
      <c r="Y3" s="2" t="n">
        <v>51868.68</v>
      </c>
      <c r="Z3" s="2" t="n">
        <v>0.26</v>
      </c>
    </row>
    <row r="4">
      <c r="A4" s="2" t="n">
        <v>3</v>
      </c>
      <c r="B4" s="2" t="n">
        <v>168.64</v>
      </c>
      <c r="C4" s="2" t="n">
        <v>1008.24</v>
      </c>
      <c r="D4" s="2" t="n">
        <v>2032126.83</v>
      </c>
      <c r="E4" s="2" t="n">
        <v>2.47</v>
      </c>
      <c r="F4" s="2" t="n">
        <v>29936.77</v>
      </c>
      <c r="G4" s="2" t="n">
        <v>1.47</v>
      </c>
      <c r="H4" s="2" t="n">
        <v>0.26</v>
      </c>
      <c r="I4" s="2" t="n">
        <v>1.73</v>
      </c>
      <c r="J4" s="2" t="n">
        <v>0.18</v>
      </c>
      <c r="K4" s="2" t="n">
        <v>166.91</v>
      </c>
      <c r="L4" s="2" t="n">
        <v>42284.71</v>
      </c>
      <c r="M4" s="2" t="n">
        <v>20194.23</v>
      </c>
      <c r="N4" s="2" t="n">
        <v>22090.48</v>
      </c>
      <c r="O4" s="2" t="n">
        <v>169.56</v>
      </c>
      <c r="P4" s="2" t="n">
        <v>2073629.42</v>
      </c>
      <c r="Q4" s="2" t="n">
        <v>172802.45</v>
      </c>
      <c r="R4" s="2" t="n">
        <v>0.9897</v>
      </c>
      <c r="S4" s="2" t="n">
        <v>-0.0016</v>
      </c>
      <c r="T4" s="2" t="n">
        <v>1.0016</v>
      </c>
      <c r="U4" s="2" t="n">
        <v>12098.87</v>
      </c>
      <c r="V4" s="2" t="n">
        <v>18148.31</v>
      </c>
      <c r="W4" s="2" t="n">
        <v>29936.77</v>
      </c>
      <c r="X4" s="2" t="n">
        <v>21294.02</v>
      </c>
      <c r="Y4" s="2" t="n">
        <v>52688.72</v>
      </c>
      <c r="Z4" s="2" t="n">
        <v>0.39</v>
      </c>
    </row>
    <row r="5">
      <c r="A5" s="2" t="n">
        <v>4</v>
      </c>
      <c r="B5" s="2" t="n">
        <v>169.56</v>
      </c>
      <c r="C5" s="2" t="n">
        <v>1012.35</v>
      </c>
      <c r="D5" s="2" t="n">
        <v>2051538.94</v>
      </c>
      <c r="E5" s="2" t="n">
        <v>2.47</v>
      </c>
      <c r="F5" s="2" t="n">
        <v>30016.01</v>
      </c>
      <c r="G5" s="2" t="n">
        <v>1.48</v>
      </c>
      <c r="H5" s="2" t="n">
        <v>0.26</v>
      </c>
      <c r="I5" s="2" t="n">
        <v>1.74</v>
      </c>
      <c r="J5" s="2" t="n">
        <v>0.22</v>
      </c>
      <c r="K5" s="2" t="n">
        <v>167.82</v>
      </c>
      <c r="L5" s="2" t="n">
        <v>42685.2</v>
      </c>
      <c r="M5" s="2" t="n">
        <v>20387.08</v>
      </c>
      <c r="N5" s="2" t="n">
        <v>22298.13</v>
      </c>
      <c r="O5" s="2" t="n">
        <v>170.52</v>
      </c>
      <c r="P5" s="2" t="n">
        <v>2093747.85</v>
      </c>
      <c r="Q5" s="2" t="n">
        <v>174478.99</v>
      </c>
      <c r="R5" s="2" t="n">
        <v>0.9897</v>
      </c>
      <c r="S5" s="2" t="n">
        <v>-0.0019</v>
      </c>
      <c r="T5" s="2" t="n">
        <v>1.0019</v>
      </c>
      <c r="U5" s="2" t="n">
        <v>12148.17</v>
      </c>
      <c r="V5" s="2" t="n">
        <v>18222.25</v>
      </c>
      <c r="W5" s="2" t="n">
        <v>30016.01</v>
      </c>
      <c r="X5" s="2" t="n">
        <v>21380.77</v>
      </c>
      <c r="Y5" s="2" t="n">
        <v>52828.18</v>
      </c>
      <c r="Z5" s="2" t="n">
        <v>0.52</v>
      </c>
    </row>
    <row r="6">
      <c r="A6" s="2" t="n">
        <v>5</v>
      </c>
      <c r="B6" s="2" t="n">
        <v>170.52</v>
      </c>
      <c r="C6" s="2" t="n">
        <v>1016.47</v>
      </c>
      <c r="D6" s="2" t="n">
        <v>2071449.72</v>
      </c>
      <c r="E6" s="2" t="n">
        <v>2.44</v>
      </c>
      <c r="F6" s="2" t="n">
        <v>29770.71</v>
      </c>
      <c r="G6" s="2" t="n">
        <v>1.49</v>
      </c>
      <c r="H6" s="2" t="n">
        <v>0.26</v>
      </c>
      <c r="I6" s="2" t="n">
        <v>1.75</v>
      </c>
      <c r="J6" s="2" t="n">
        <v>0.24</v>
      </c>
      <c r="K6" s="2" t="n">
        <v>168.76</v>
      </c>
      <c r="L6" s="2" t="n">
        <v>43098.17</v>
      </c>
      <c r="M6" s="2" t="n">
        <v>20584.91</v>
      </c>
      <c r="N6" s="2" t="n">
        <v>22513.26</v>
      </c>
      <c r="O6" s="2" t="n">
        <v>171.44</v>
      </c>
      <c r="P6" s="2" t="n">
        <v>2113702.08</v>
      </c>
      <c r="Q6" s="2" t="n">
        <v>176141.84</v>
      </c>
      <c r="R6" s="2" t="n">
        <v>0.9897</v>
      </c>
      <c r="S6" s="2" t="n">
        <v>-0.002</v>
      </c>
      <c r="T6" s="2" t="n">
        <v>1.002</v>
      </c>
      <c r="U6" s="2" t="n">
        <v>12197.66</v>
      </c>
      <c r="V6" s="2" t="n">
        <v>18296.49</v>
      </c>
      <c r="W6" s="2" t="n">
        <v>29770.71</v>
      </c>
      <c r="X6" s="2" t="n">
        <v>21467.88</v>
      </c>
      <c r="Y6" s="2" t="n">
        <v>52396.44</v>
      </c>
      <c r="Z6" s="2" t="n">
        <v>0.64</v>
      </c>
    </row>
    <row r="7">
      <c r="A7" s="2" t="n">
        <v>6</v>
      </c>
      <c r="B7" s="2" t="n">
        <v>171.44</v>
      </c>
      <c r="C7" s="2" t="n">
        <v>1020.61</v>
      </c>
      <c r="D7" s="2" t="n">
        <v>2091188.82</v>
      </c>
      <c r="E7" s="2" t="n">
        <v>2.36</v>
      </c>
      <c r="F7" s="2" t="n">
        <v>28946.95</v>
      </c>
      <c r="G7" s="2" t="n">
        <v>1.5</v>
      </c>
      <c r="H7" s="2" t="n">
        <v>0.26</v>
      </c>
      <c r="I7" s="2" t="n">
        <v>1.76</v>
      </c>
      <c r="J7" s="2" t="n">
        <v>0.25</v>
      </c>
      <c r="K7" s="2" t="n">
        <v>169.68</v>
      </c>
      <c r="L7" s="2" t="n">
        <v>43510.31</v>
      </c>
      <c r="M7" s="2" t="n">
        <v>20781.09</v>
      </c>
      <c r="N7" s="2" t="n">
        <v>22729.22</v>
      </c>
      <c r="O7" s="2" t="n">
        <v>172.29</v>
      </c>
      <c r="P7" s="2" t="n">
        <v>2132882.73</v>
      </c>
      <c r="Q7" s="2" t="n">
        <v>177740.23</v>
      </c>
      <c r="R7" s="2" t="n">
        <v>0.9897</v>
      </c>
      <c r="S7" s="2" t="n">
        <v>-0.002</v>
      </c>
      <c r="T7" s="2" t="n">
        <v>1.002</v>
      </c>
      <c r="U7" s="2" t="n">
        <v>12247.36</v>
      </c>
      <c r="V7" s="2" t="n">
        <v>18371.03</v>
      </c>
      <c r="W7" s="2" t="n">
        <v>28946.95</v>
      </c>
      <c r="X7" s="2" t="n">
        <v>21555.35</v>
      </c>
      <c r="Y7" s="2" t="n">
        <v>50946.63</v>
      </c>
      <c r="Z7" s="2" t="n">
        <v>0.76</v>
      </c>
    </row>
    <row r="8">
      <c r="A8" s="2" t="n">
        <v>7</v>
      </c>
      <c r="B8" s="2" t="n">
        <v>172.29</v>
      </c>
      <c r="C8" s="2" t="n">
        <v>1024.77</v>
      </c>
      <c r="D8" s="2" t="n">
        <v>2110153.51</v>
      </c>
      <c r="E8" s="2" t="n">
        <v>2.26</v>
      </c>
      <c r="F8" s="2" t="n">
        <v>27741.15</v>
      </c>
      <c r="G8" s="2" t="n">
        <v>1.51</v>
      </c>
      <c r="H8" s="2" t="n">
        <v>0.27</v>
      </c>
      <c r="I8" s="2" t="n">
        <v>1.77</v>
      </c>
      <c r="J8" s="2" t="n">
        <v>0.27</v>
      </c>
      <c r="K8" s="2" t="n">
        <v>170.52</v>
      </c>
      <c r="L8" s="2" t="n">
        <v>43908.77</v>
      </c>
      <c r="M8" s="2" t="n">
        <v>20969.59</v>
      </c>
      <c r="N8" s="2" t="n">
        <v>22939.18</v>
      </c>
      <c r="O8" s="2" t="n">
        <v>173.04</v>
      </c>
      <c r="P8" s="2" t="n">
        <v>2150913.53</v>
      </c>
      <c r="Q8" s="2" t="n">
        <v>179242.79</v>
      </c>
      <c r="R8" s="2" t="n">
        <v>0.9897</v>
      </c>
      <c r="S8" s="2" t="n">
        <v>-0.0021</v>
      </c>
      <c r="T8" s="2" t="n">
        <v>1.0021</v>
      </c>
      <c r="U8" s="2" t="n">
        <v>12297.25</v>
      </c>
      <c r="V8" s="2" t="n">
        <v>18445.88</v>
      </c>
      <c r="W8" s="2" t="n">
        <v>27741.15</v>
      </c>
      <c r="X8" s="2" t="n">
        <v>21643.16</v>
      </c>
      <c r="Y8" s="2" t="n">
        <v>48824.42</v>
      </c>
      <c r="Z8" s="2" t="n">
        <v>0.88</v>
      </c>
    </row>
    <row r="9">
      <c r="A9" s="2" t="n">
        <v>8</v>
      </c>
      <c r="B9" s="2" t="n">
        <v>173.04</v>
      </c>
      <c r="C9" s="2" t="n">
        <v>1028.95</v>
      </c>
      <c r="D9" s="2" t="n">
        <v>2127974.35</v>
      </c>
      <c r="E9" s="2" t="n">
        <v>2.15</v>
      </c>
      <c r="F9" s="2" t="n">
        <v>26494.38</v>
      </c>
      <c r="G9" s="2" t="n">
        <v>1.51</v>
      </c>
      <c r="H9" s="2" t="n">
        <v>0.27</v>
      </c>
      <c r="I9" s="2" t="n">
        <v>1.78</v>
      </c>
      <c r="J9" s="2" t="n">
        <v>0.28</v>
      </c>
      <c r="K9" s="2" t="n">
        <v>171.27</v>
      </c>
      <c r="L9" s="2" t="n">
        <v>44284.9</v>
      </c>
      <c r="M9" s="2" t="n">
        <v>21146.76</v>
      </c>
      <c r="N9" s="2" t="n">
        <v>23138.15</v>
      </c>
      <c r="O9" s="2" t="n">
        <v>173.69</v>
      </c>
      <c r="P9" s="2" t="n">
        <v>2167758.92</v>
      </c>
      <c r="Q9" s="2" t="n">
        <v>180646.58</v>
      </c>
      <c r="R9" s="2" t="n">
        <v>0.9897</v>
      </c>
      <c r="S9" s="2" t="n">
        <v>-0.0022</v>
      </c>
      <c r="T9" s="2" t="n">
        <v>1.0022</v>
      </c>
      <c r="U9" s="2" t="n">
        <v>12347.35</v>
      </c>
      <c r="V9" s="2" t="n">
        <v>18521.03</v>
      </c>
      <c r="W9" s="2" t="n">
        <v>26494.38</v>
      </c>
      <c r="X9" s="2" t="n">
        <v>21731.34</v>
      </c>
      <c r="Y9" s="2" t="n">
        <v>46630.1</v>
      </c>
      <c r="Z9" s="2" t="n">
        <v>1</v>
      </c>
    </row>
    <row r="10">
      <c r="A10" s="2" t="n">
        <v>9</v>
      </c>
      <c r="B10" s="2" t="n">
        <v>173.69</v>
      </c>
      <c r="C10" s="2" t="n">
        <v>1033.14</v>
      </c>
      <c r="D10" s="2" t="n">
        <v>2144620.77</v>
      </c>
      <c r="E10" s="2" t="n">
        <v>2.06</v>
      </c>
      <c r="F10" s="2" t="n">
        <v>25562.02</v>
      </c>
      <c r="G10" s="2" t="n">
        <v>1.52</v>
      </c>
      <c r="H10" s="2" t="n">
        <v>0.27</v>
      </c>
      <c r="I10" s="2" t="n">
        <v>1.79</v>
      </c>
      <c r="J10" s="2" t="n">
        <v>0.29</v>
      </c>
      <c r="K10" s="2" t="n">
        <v>171.91</v>
      </c>
      <c r="L10" s="2" t="n">
        <v>44636.69</v>
      </c>
      <c r="M10" s="2" t="n">
        <v>21312.25</v>
      </c>
      <c r="N10" s="2" t="n">
        <v>23324.44</v>
      </c>
      <c r="O10" s="2" t="n">
        <v>174.26</v>
      </c>
      <c r="P10" s="2" t="n">
        <v>2183739.72</v>
      </c>
      <c r="Q10" s="2" t="n">
        <v>181978.31</v>
      </c>
      <c r="R10" s="2" t="n">
        <v>0.9897</v>
      </c>
      <c r="S10" s="2" t="n">
        <v>-0.0022</v>
      </c>
      <c r="T10" s="2" t="n">
        <v>1.0022</v>
      </c>
      <c r="U10" s="2" t="n">
        <v>12397.66</v>
      </c>
      <c r="V10" s="2" t="n">
        <v>18596.49</v>
      </c>
      <c r="W10" s="2" t="n">
        <v>25562.02</v>
      </c>
      <c r="X10" s="2" t="n">
        <v>21819.88</v>
      </c>
      <c r="Y10" s="2" t="n">
        <v>44989.16</v>
      </c>
      <c r="Z10" s="2" t="n">
        <v>1.12</v>
      </c>
    </row>
    <row r="11">
      <c r="A11" s="2" t="n">
        <v>10</v>
      </c>
      <c r="B11" s="2" t="n">
        <v>174.26</v>
      </c>
      <c r="C11" s="2" t="n">
        <v>1037.35</v>
      </c>
      <c r="D11" s="2" t="n">
        <v>2160415.28</v>
      </c>
      <c r="E11" s="2" t="n">
        <v>2.03</v>
      </c>
      <c r="F11" s="2" t="n">
        <v>25218.34</v>
      </c>
      <c r="G11" s="2" t="n">
        <v>1.52</v>
      </c>
      <c r="H11" s="2" t="n">
        <v>0.27</v>
      </c>
      <c r="I11" s="2" t="n">
        <v>1.79</v>
      </c>
      <c r="J11" s="2" t="n">
        <v>0.31</v>
      </c>
      <c r="K11" s="2" t="n">
        <v>172.47</v>
      </c>
      <c r="L11" s="2" t="n">
        <v>44969.41</v>
      </c>
      <c r="M11" s="2" t="n">
        <v>21469.26</v>
      </c>
      <c r="N11" s="2" t="n">
        <v>23500.15</v>
      </c>
      <c r="O11" s="2" t="n">
        <v>174.8</v>
      </c>
      <c r="P11" s="2" t="n">
        <v>2199450.65</v>
      </c>
      <c r="Q11" s="2" t="n">
        <v>183287.55</v>
      </c>
      <c r="R11" s="2" t="n">
        <v>0.9897</v>
      </c>
      <c r="S11" s="2" t="n">
        <v>-0.0023</v>
      </c>
      <c r="T11" s="2" t="n">
        <v>1.0023</v>
      </c>
      <c r="U11" s="2" t="n">
        <v>12448.17</v>
      </c>
      <c r="V11" s="2" t="n">
        <v>18672.25</v>
      </c>
      <c r="W11" s="2" t="n">
        <v>25218.34</v>
      </c>
      <c r="X11" s="2" t="n">
        <v>21908.77</v>
      </c>
      <c r="Y11" s="2" t="n">
        <v>44384.27</v>
      </c>
      <c r="Z11" s="2" t="n">
        <v>1.24</v>
      </c>
    </row>
    <row r="12">
      <c r="A12" s="2" t="n">
        <v>11</v>
      </c>
      <c r="B12" s="2" t="n">
        <v>174.8</v>
      </c>
      <c r="C12" s="2" t="n">
        <v>1041.57</v>
      </c>
      <c r="D12" s="2" t="n">
        <v>2175950.5</v>
      </c>
      <c r="E12" s="2" t="n">
        <v>2.05</v>
      </c>
      <c r="F12" s="2" t="n">
        <v>25647.08</v>
      </c>
      <c r="G12" s="2" t="n">
        <v>1.53</v>
      </c>
      <c r="H12" s="2" t="n">
        <v>0.27</v>
      </c>
      <c r="I12" s="2" t="n">
        <v>1.8</v>
      </c>
      <c r="J12" s="2" t="n">
        <v>0.31</v>
      </c>
      <c r="K12" s="2" t="n">
        <v>173</v>
      </c>
      <c r="L12" s="2" t="n">
        <v>45294.3</v>
      </c>
      <c r="M12" s="2" t="n">
        <v>21623.66</v>
      </c>
      <c r="N12" s="2" t="n">
        <v>23670.65</v>
      </c>
      <c r="O12" s="2" t="n">
        <v>175.37</v>
      </c>
      <c r="P12" s="2" t="n">
        <v>2215602.07</v>
      </c>
      <c r="Q12" s="2" t="n">
        <v>184633.51</v>
      </c>
      <c r="R12" s="2" t="n">
        <v>0.9897</v>
      </c>
      <c r="S12" s="2" t="n">
        <v>-0.0024</v>
      </c>
      <c r="T12" s="2" t="n">
        <v>1.0024</v>
      </c>
      <c r="U12" s="2" t="n">
        <v>12498.88</v>
      </c>
      <c r="V12" s="2" t="n">
        <v>18748.32</v>
      </c>
      <c r="W12" s="2" t="n">
        <v>25647.08</v>
      </c>
      <c r="X12" s="2" t="n">
        <v>21998.03</v>
      </c>
      <c r="Y12" s="2" t="n">
        <v>45138.86</v>
      </c>
      <c r="Z12" s="2" t="n">
        <v>1.36</v>
      </c>
    </row>
    <row r="13">
      <c r="A13" s="2" t="n">
        <v>12</v>
      </c>
      <c r="B13" s="2" t="n">
        <v>175.37</v>
      </c>
      <c r="C13" s="2" t="n">
        <v>1045.82</v>
      </c>
      <c r="D13" s="2" t="n">
        <v>2191931.42</v>
      </c>
      <c r="E13" s="2" t="n">
        <v>2.13</v>
      </c>
      <c r="F13" s="2" t="n">
        <v>26707.26</v>
      </c>
      <c r="G13" s="2" t="n">
        <v>1.53</v>
      </c>
      <c r="H13" s="2" t="n">
        <v>0.27</v>
      </c>
      <c r="I13" s="2" t="n">
        <v>1.8</v>
      </c>
      <c r="J13" s="2" t="n">
        <v>0.32</v>
      </c>
      <c r="K13" s="2" t="n">
        <v>173.57</v>
      </c>
      <c r="L13" s="2" t="n">
        <v>45625.62</v>
      </c>
      <c r="M13" s="2" t="n">
        <v>21782.45</v>
      </c>
      <c r="N13" s="2" t="n">
        <v>23843.17</v>
      </c>
      <c r="O13" s="2" t="n">
        <v>176.02</v>
      </c>
      <c r="P13" s="2" t="n">
        <v>2232829.31</v>
      </c>
      <c r="Q13" s="2" t="n">
        <v>186069.11</v>
      </c>
      <c r="R13" s="2" t="n">
        <v>0.9897</v>
      </c>
      <c r="S13" s="2" t="n">
        <v>-0.0024</v>
      </c>
      <c r="T13" s="2" t="n">
        <v>1.0024</v>
      </c>
      <c r="U13" s="2" t="n">
        <v>12549.8</v>
      </c>
      <c r="V13" s="2" t="n">
        <v>18824.71</v>
      </c>
      <c r="W13" s="2" t="n">
        <v>26707.26</v>
      </c>
      <c r="X13" s="2" t="n">
        <v>22087.66</v>
      </c>
      <c r="Y13" s="2" t="n">
        <v>47004.78</v>
      </c>
      <c r="Z13" s="2" t="n">
        <v>1.48</v>
      </c>
    </row>
    <row r="14">
      <c r="A14" s="2" t="n">
        <v>13</v>
      </c>
      <c r="B14" s="2" t="n">
        <v>176.02</v>
      </c>
      <c r="C14" s="2" t="n">
        <v>1045.89</v>
      </c>
      <c r="D14" s="2" t="n">
        <v>2208986.14</v>
      </c>
      <c r="E14" s="2" t="n">
        <v>2.59</v>
      </c>
      <c r="F14" s="2" t="n">
        <v>32552.33</v>
      </c>
      <c r="G14" s="2" t="n">
        <v>1.54</v>
      </c>
      <c r="H14" s="2" t="n">
        <v>0.27</v>
      </c>
      <c r="I14" s="2" t="n">
        <v>1.81</v>
      </c>
      <c r="J14" s="2" t="n">
        <v>0.33</v>
      </c>
      <c r="K14" s="2" t="n">
        <v>174.21</v>
      </c>
      <c r="L14" s="2" t="n">
        <v>45793.59</v>
      </c>
      <c r="M14" s="2" t="n">
        <v>26237.31</v>
      </c>
      <c r="N14" s="2" t="n">
        <v>19556.27</v>
      </c>
      <c r="O14" s="2" t="n">
        <v>177.13</v>
      </c>
      <c r="P14" s="2" t="n">
        <v>2242685.59</v>
      </c>
      <c r="Q14" s="2" t="n">
        <v>186890.47</v>
      </c>
      <c r="R14" s="2" t="n">
        <v>0.9897</v>
      </c>
      <c r="S14" s="2" t="n">
        <v>-0.0004</v>
      </c>
      <c r="T14" s="2" t="n">
        <v>1.0004</v>
      </c>
      <c r="U14" s="2" t="n">
        <v>12550.73</v>
      </c>
      <c r="V14" s="2" t="n">
        <v>18826.1</v>
      </c>
      <c r="W14" s="2" t="n">
        <v>32552.33</v>
      </c>
      <c r="X14" s="2" t="n">
        <v>22089.29</v>
      </c>
      <c r="Y14" s="2" t="n">
        <v>57292.11</v>
      </c>
      <c r="Z14" s="2" t="n">
        <v>1.49</v>
      </c>
    </row>
    <row r="15">
      <c r="A15" s="2" t="n">
        <v>14</v>
      </c>
      <c r="B15" s="2" t="n">
        <v>177.13</v>
      </c>
      <c r="C15" s="2" t="n">
        <v>1050.16</v>
      </c>
      <c r="D15" s="2" t="n">
        <v>2223129.31</v>
      </c>
      <c r="E15" s="2" t="n">
        <v>2.36</v>
      </c>
      <c r="F15" s="2" t="n">
        <v>29736.88</v>
      </c>
      <c r="G15" s="2" t="n">
        <v>1.55</v>
      </c>
      <c r="H15" s="2" t="n">
        <v>0.27</v>
      </c>
      <c r="I15" s="2" t="n">
        <v>1.82</v>
      </c>
      <c r="J15" s="2" t="n">
        <v>0.33</v>
      </c>
      <c r="K15" s="2" t="n">
        <v>175.31</v>
      </c>
      <c r="L15" s="2" t="n">
        <v>46247.61</v>
      </c>
      <c r="M15" s="2" t="n">
        <v>22092.11</v>
      </c>
      <c r="N15" s="2" t="n">
        <v>24155.5</v>
      </c>
      <c r="O15" s="2" t="n">
        <v>178</v>
      </c>
      <c r="P15" s="2" t="n">
        <v>2267267.03</v>
      </c>
      <c r="Q15" s="2" t="n">
        <v>188938.92</v>
      </c>
      <c r="R15" s="2" t="n">
        <v>0.9897</v>
      </c>
      <c r="S15" s="2" t="n">
        <v>-0.0024</v>
      </c>
      <c r="T15" s="2" t="n">
        <v>1.0024</v>
      </c>
      <c r="U15" s="2" t="n">
        <v>12601.87</v>
      </c>
      <c r="V15" s="2" t="n">
        <v>18902.8</v>
      </c>
      <c r="W15" s="2" t="n">
        <v>29736.88</v>
      </c>
      <c r="X15" s="2" t="n">
        <v>22179.29</v>
      </c>
      <c r="Y15" s="2" t="n">
        <v>52336.91</v>
      </c>
      <c r="Z15" s="2" t="n">
        <v>1.49</v>
      </c>
    </row>
    <row r="16">
      <c r="A16" s="2" t="n">
        <v>15</v>
      </c>
      <c r="B16" s="2" t="n">
        <v>178</v>
      </c>
      <c r="C16" s="2" t="n">
        <v>1054.43</v>
      </c>
      <c r="D16" s="2" t="n">
        <v>2243111.53</v>
      </c>
      <c r="E16" s="2" t="n">
        <v>2.45</v>
      </c>
      <c r="F16" s="2" t="n">
        <v>30940.15</v>
      </c>
      <c r="G16" s="2" t="n">
        <v>1.56</v>
      </c>
      <c r="H16" s="2" t="n">
        <v>0.27</v>
      </c>
      <c r="I16" s="2" t="n">
        <v>1.83</v>
      </c>
      <c r="J16" s="2" t="n">
        <v>0.33</v>
      </c>
      <c r="K16" s="2" t="n">
        <v>176.17</v>
      </c>
      <c r="L16" s="2" t="n">
        <v>46676.04</v>
      </c>
      <c r="M16" s="2" t="n">
        <v>22290.85</v>
      </c>
      <c r="N16" s="2" t="n">
        <v>24385.19</v>
      </c>
      <c r="O16" s="2" t="n">
        <v>178.94</v>
      </c>
      <c r="P16" s="2" t="n">
        <v>2288613.22</v>
      </c>
      <c r="Q16" s="2" t="n">
        <v>190717.77</v>
      </c>
      <c r="R16" s="2" t="n">
        <v>0.9897</v>
      </c>
      <c r="S16" s="2" t="n">
        <v>-0.0024</v>
      </c>
      <c r="T16" s="2" t="n">
        <v>1.0024</v>
      </c>
      <c r="U16" s="2" t="n">
        <v>12653.21</v>
      </c>
      <c r="V16" s="2" t="n">
        <v>18979.81</v>
      </c>
      <c r="W16" s="2" t="n">
        <v>30940.15</v>
      </c>
      <c r="X16" s="2" t="n">
        <v>22269.65</v>
      </c>
      <c r="Y16" s="2" t="n">
        <v>54454.67</v>
      </c>
      <c r="Z16" s="2" t="n">
        <v>1.5</v>
      </c>
    </row>
    <row r="17">
      <c r="A17" s="2" t="n">
        <v>16</v>
      </c>
      <c r="B17" s="2" t="n">
        <v>178.94</v>
      </c>
      <c r="C17" s="2" t="n">
        <v>1058.73</v>
      </c>
      <c r="D17" s="2" t="n">
        <v>2264228.03</v>
      </c>
      <c r="E17" s="2" t="n">
        <v>2.49</v>
      </c>
      <c r="F17" s="2" t="n">
        <v>31579.09</v>
      </c>
      <c r="G17" s="2" t="n">
        <v>1.56</v>
      </c>
      <c r="H17" s="2" t="n">
        <v>0.28</v>
      </c>
      <c r="I17" s="2" t="n">
        <v>1.84</v>
      </c>
      <c r="J17" s="2" t="n">
        <v>0.33</v>
      </c>
      <c r="K17" s="2" t="n">
        <v>177.1</v>
      </c>
      <c r="L17" s="2" t="n">
        <v>47111.67</v>
      </c>
      <c r="M17" s="2" t="n">
        <v>22500.65</v>
      </c>
      <c r="N17" s="2" t="n">
        <v>24611.02</v>
      </c>
      <c r="O17" s="2" t="n">
        <v>179.92</v>
      </c>
      <c r="P17" s="2" t="n">
        <v>2310494.36</v>
      </c>
      <c r="Q17" s="2" t="n">
        <v>192541.2</v>
      </c>
      <c r="R17" s="2" t="n">
        <v>0.9897</v>
      </c>
      <c r="S17" s="2" t="n">
        <v>-0.0024</v>
      </c>
      <c r="T17" s="2" t="n">
        <v>1.0024</v>
      </c>
      <c r="U17" s="2" t="n">
        <v>12704.76</v>
      </c>
      <c r="V17" s="2" t="n">
        <v>19057.14</v>
      </c>
      <c r="W17" s="2" t="n">
        <v>31579.09</v>
      </c>
      <c r="X17" s="2" t="n">
        <v>22360.38</v>
      </c>
      <c r="Y17" s="2" t="n">
        <v>55579.2</v>
      </c>
      <c r="Z17" s="2" t="n">
        <v>1.51</v>
      </c>
    </row>
    <row r="18">
      <c r="A18" s="2" t="n">
        <v>17</v>
      </c>
      <c r="B18" s="2" t="n">
        <v>179.92</v>
      </c>
      <c r="C18" s="2" t="n">
        <v>1063.04</v>
      </c>
      <c r="D18" s="2" t="n">
        <v>2285883.34</v>
      </c>
      <c r="E18" s="2" t="n">
        <v>2.47</v>
      </c>
      <c r="F18" s="2" t="n">
        <v>31482.46</v>
      </c>
      <c r="G18" s="2" t="n">
        <v>1.57</v>
      </c>
      <c r="H18" s="2" t="n">
        <v>0.28</v>
      </c>
      <c r="I18" s="2" t="n">
        <v>1.85</v>
      </c>
      <c r="J18" s="2" t="n">
        <v>0.34</v>
      </c>
      <c r="K18" s="2" t="n">
        <v>178.07</v>
      </c>
      <c r="L18" s="2" t="n">
        <v>47560.86</v>
      </c>
      <c r="M18" s="2" t="n">
        <v>22715.83</v>
      </c>
      <c r="N18" s="2" t="n">
        <v>24845.03</v>
      </c>
      <c r="O18" s="2" t="n">
        <v>180.88</v>
      </c>
      <c r="P18" s="2" t="n">
        <v>2332188.63</v>
      </c>
      <c r="Q18" s="2" t="n">
        <v>194349.05</v>
      </c>
      <c r="R18" s="2" t="n">
        <v>0.9897</v>
      </c>
      <c r="S18" s="2" t="n">
        <v>-0.0024</v>
      </c>
      <c r="T18" s="2" t="n">
        <v>1.0024</v>
      </c>
      <c r="U18" s="2" t="n">
        <v>12756.52</v>
      </c>
      <c r="V18" s="2" t="n">
        <v>19134.78</v>
      </c>
      <c r="W18" s="2" t="n">
        <v>31482.46</v>
      </c>
      <c r="X18" s="2" t="n">
        <v>22451.48</v>
      </c>
      <c r="Y18" s="2" t="n">
        <v>55409.13</v>
      </c>
      <c r="Z18" s="2" t="n">
        <v>1.51</v>
      </c>
    </row>
    <row r="19">
      <c r="A19" s="2" t="n">
        <v>18</v>
      </c>
      <c r="B19" s="2" t="n">
        <v>180.88</v>
      </c>
      <c r="C19" s="2" t="n">
        <v>1067.37</v>
      </c>
      <c r="D19" s="2" t="n">
        <v>2307343.6</v>
      </c>
      <c r="E19" s="2" t="n">
        <v>2.4</v>
      </c>
      <c r="F19" s="2" t="n">
        <v>30721.53</v>
      </c>
      <c r="G19" s="2" t="n">
        <v>1.58</v>
      </c>
      <c r="H19" s="2" t="n">
        <v>0.28</v>
      </c>
      <c r="I19" s="2" t="n">
        <v>1.86</v>
      </c>
      <c r="J19" s="2" t="n">
        <v>0.34</v>
      </c>
      <c r="K19" s="2" t="n">
        <v>179.01</v>
      </c>
      <c r="L19" s="2" t="n">
        <v>48008.98</v>
      </c>
      <c r="M19" s="2" t="n">
        <v>22929.11</v>
      </c>
      <c r="N19" s="2" t="n">
        <v>25079.87</v>
      </c>
      <c r="O19" s="2" t="n">
        <v>181.75</v>
      </c>
      <c r="P19" s="2" t="n">
        <v>2353029.54</v>
      </c>
      <c r="Q19" s="2" t="n">
        <v>196085.8</v>
      </c>
      <c r="R19" s="2" t="n">
        <v>0.9897</v>
      </c>
      <c r="S19" s="2" t="n">
        <v>-0.0024</v>
      </c>
      <c r="T19" s="2" t="n">
        <v>1.0024</v>
      </c>
      <c r="U19" s="2" t="n">
        <v>12808.49</v>
      </c>
      <c r="V19" s="2" t="n">
        <v>19212.74</v>
      </c>
      <c r="W19" s="2" t="n">
        <v>30721.53</v>
      </c>
      <c r="X19" s="2" t="n">
        <v>22542.95</v>
      </c>
      <c r="Y19" s="2" t="n">
        <v>54069.89</v>
      </c>
      <c r="Z19" s="2" t="n">
        <v>1.52</v>
      </c>
    </row>
    <row r="20">
      <c r="A20" s="2" t="n">
        <v>19</v>
      </c>
      <c r="B20" s="2" t="n">
        <v>181.75</v>
      </c>
      <c r="C20" s="2" t="n">
        <v>1071.72</v>
      </c>
      <c r="D20" s="2" t="n">
        <v>2327949.67</v>
      </c>
      <c r="E20" s="2" t="n">
        <v>2.3</v>
      </c>
      <c r="F20" s="2" t="n">
        <v>29547.91</v>
      </c>
      <c r="G20" s="2" t="n">
        <v>1.59</v>
      </c>
      <c r="H20" s="2" t="n">
        <v>0.28</v>
      </c>
      <c r="I20" s="2" t="n">
        <v>1.87</v>
      </c>
      <c r="J20" s="2" t="n">
        <v>0.34</v>
      </c>
      <c r="K20" s="2" t="n">
        <v>179.88</v>
      </c>
      <c r="L20" s="2" t="n">
        <v>48441.99</v>
      </c>
      <c r="M20" s="2" t="n">
        <v>23133.94</v>
      </c>
      <c r="N20" s="2" t="n">
        <v>25308.05</v>
      </c>
      <c r="O20" s="2" t="n">
        <v>182.52</v>
      </c>
      <c r="P20" s="2" t="n">
        <v>2372606.18</v>
      </c>
      <c r="Q20" s="2" t="n">
        <v>197717.18</v>
      </c>
      <c r="R20" s="2" t="n">
        <v>0.9897</v>
      </c>
      <c r="S20" s="2" t="n">
        <v>-0.0024</v>
      </c>
      <c r="T20" s="2" t="n">
        <v>1.0024</v>
      </c>
      <c r="U20" s="2" t="n">
        <v>12860.68</v>
      </c>
      <c r="V20" s="2" t="n">
        <v>19291.01</v>
      </c>
      <c r="W20" s="2" t="n">
        <v>29547.91</v>
      </c>
      <c r="X20" s="2" t="n">
        <v>22634.79</v>
      </c>
      <c r="Y20" s="2" t="n">
        <v>52004.32</v>
      </c>
      <c r="Z20" s="2" t="n">
        <v>1.53</v>
      </c>
    </row>
    <row r="21">
      <c r="A21" s="2" t="n">
        <v>20</v>
      </c>
      <c r="B21" s="2" t="n">
        <v>182.52</v>
      </c>
      <c r="C21" s="2" t="n">
        <v>1076.09</v>
      </c>
      <c r="D21" s="2" t="n">
        <v>2347298.13</v>
      </c>
      <c r="E21" s="2" t="n">
        <v>2.19</v>
      </c>
      <c r="F21" s="2" t="n">
        <v>28332.29</v>
      </c>
      <c r="G21" s="2" t="n">
        <v>1.6</v>
      </c>
      <c r="H21" s="2" t="n">
        <v>0.28</v>
      </c>
      <c r="I21" s="2" t="n">
        <v>1.88</v>
      </c>
      <c r="J21" s="2" t="n">
        <v>0.34</v>
      </c>
      <c r="K21" s="2" t="n">
        <v>180.64</v>
      </c>
      <c r="L21" s="2" t="n">
        <v>48850.44</v>
      </c>
      <c r="M21" s="2" t="n">
        <v>23326.29</v>
      </c>
      <c r="N21" s="2" t="n">
        <v>25524.15</v>
      </c>
      <c r="O21" s="2" t="n">
        <v>183.18</v>
      </c>
      <c r="P21" s="2" t="n">
        <v>2390880.52</v>
      </c>
      <c r="Q21" s="2" t="n">
        <v>199240.04</v>
      </c>
      <c r="R21" s="2" t="n">
        <v>0.9897</v>
      </c>
      <c r="S21" s="2" t="n">
        <v>-0.0024</v>
      </c>
      <c r="T21" s="2" t="n">
        <v>1.0024</v>
      </c>
      <c r="U21" s="2" t="n">
        <v>12913.07</v>
      </c>
      <c r="V21" s="2" t="n">
        <v>19369.61</v>
      </c>
      <c r="W21" s="2" t="n">
        <v>28332.29</v>
      </c>
      <c r="X21" s="2" t="n">
        <v>22727.01</v>
      </c>
      <c r="Y21" s="2" t="n">
        <v>49864.84</v>
      </c>
      <c r="Z21" s="2" t="n">
        <v>1.53</v>
      </c>
    </row>
    <row r="22">
      <c r="A22" s="2" t="n">
        <v>21</v>
      </c>
      <c r="B22" s="2" t="n">
        <v>183.18</v>
      </c>
      <c r="C22" s="2" t="n">
        <v>1080.47</v>
      </c>
      <c r="D22" s="2" t="n">
        <v>2365356.37</v>
      </c>
      <c r="E22" s="2" t="n">
        <v>2.12</v>
      </c>
      <c r="F22" s="2" t="n">
        <v>27463.06</v>
      </c>
      <c r="G22" s="2" t="n">
        <v>1.6</v>
      </c>
      <c r="H22" s="2" t="n">
        <v>0.28</v>
      </c>
      <c r="I22" s="2" t="n">
        <v>1.88</v>
      </c>
      <c r="J22" s="2" t="n">
        <v>0.34</v>
      </c>
      <c r="K22" s="2" t="n">
        <v>181.29</v>
      </c>
      <c r="L22" s="2" t="n">
        <v>49232.13</v>
      </c>
      <c r="M22" s="2" t="n">
        <v>23505.82</v>
      </c>
      <c r="N22" s="2" t="n">
        <v>25726.31</v>
      </c>
      <c r="O22" s="2" t="n">
        <v>183.75</v>
      </c>
      <c r="P22" s="2" t="n">
        <v>2408204.06</v>
      </c>
      <c r="Q22" s="2" t="n">
        <v>200683.67</v>
      </c>
      <c r="R22" s="2" t="n">
        <v>0.9897</v>
      </c>
      <c r="S22" s="2" t="n">
        <v>-0.0024</v>
      </c>
      <c r="T22" s="2" t="n">
        <v>1.0024</v>
      </c>
      <c r="U22" s="2" t="n">
        <v>12965.68</v>
      </c>
      <c r="V22" s="2" t="n">
        <v>19448.52</v>
      </c>
      <c r="W22" s="2" t="n">
        <v>27463.06</v>
      </c>
      <c r="X22" s="2" t="n">
        <v>22819.6</v>
      </c>
      <c r="Y22" s="2" t="n">
        <v>48334.98</v>
      </c>
      <c r="Z22" s="2" t="n">
        <v>1.54</v>
      </c>
    </row>
    <row r="23">
      <c r="A23" s="2" t="n">
        <v>22</v>
      </c>
      <c r="B23" s="2" t="n">
        <v>183.75</v>
      </c>
      <c r="C23" s="2" t="n">
        <v>1084.88</v>
      </c>
      <c r="D23" s="2" t="n">
        <v>2382477.75</v>
      </c>
      <c r="E23" s="2" t="n">
        <v>2.09</v>
      </c>
      <c r="F23" s="2" t="n">
        <v>27239.57</v>
      </c>
      <c r="G23" s="2" t="n">
        <v>1.6</v>
      </c>
      <c r="H23" s="2" t="n">
        <v>0.28</v>
      </c>
      <c r="I23" s="2" t="n">
        <v>1.89</v>
      </c>
      <c r="J23" s="2" t="n">
        <v>0.34</v>
      </c>
      <c r="K23" s="2" t="n">
        <v>181.86</v>
      </c>
      <c r="L23" s="2" t="n">
        <v>49592.86</v>
      </c>
      <c r="M23" s="2" t="n">
        <v>23676.02</v>
      </c>
      <c r="N23" s="2" t="n">
        <v>25916.84</v>
      </c>
      <c r="O23" s="2" t="n">
        <v>184.3</v>
      </c>
      <c r="P23" s="2" t="n">
        <v>2425227.39</v>
      </c>
      <c r="Q23" s="2" t="n">
        <v>202102.28</v>
      </c>
      <c r="R23" s="2" t="n">
        <v>0.9897</v>
      </c>
      <c r="S23" s="2" t="n">
        <v>-0.0024</v>
      </c>
      <c r="T23" s="2" t="n">
        <v>1.0024</v>
      </c>
      <c r="U23" s="2" t="n">
        <v>13018.51</v>
      </c>
      <c r="V23" s="2" t="n">
        <v>19527.76</v>
      </c>
      <c r="W23" s="2" t="n">
        <v>27239.57</v>
      </c>
      <c r="X23" s="2" t="n">
        <v>22912.57</v>
      </c>
      <c r="Y23" s="2" t="n">
        <v>47941.65</v>
      </c>
      <c r="Z23" s="2" t="n">
        <v>1.55</v>
      </c>
    </row>
    <row r="24">
      <c r="A24" s="2" t="n">
        <v>23</v>
      </c>
      <c r="B24" s="2" t="n">
        <v>184.3</v>
      </c>
      <c r="C24" s="2" t="n">
        <v>1089.3</v>
      </c>
      <c r="D24" s="2" t="n">
        <v>2399310.55</v>
      </c>
      <c r="E24" s="2" t="n">
        <v>2.13</v>
      </c>
      <c r="F24" s="2" t="n">
        <v>27789.41</v>
      </c>
      <c r="G24" s="2" t="n">
        <v>1.61</v>
      </c>
      <c r="H24" s="2" t="n">
        <v>0.28</v>
      </c>
      <c r="I24" s="2" t="n">
        <v>1.89</v>
      </c>
      <c r="J24" s="2" t="n">
        <v>0.34</v>
      </c>
      <c r="K24" s="2" t="n">
        <v>182.41</v>
      </c>
      <c r="L24" s="2" t="n">
        <v>49944.94</v>
      </c>
      <c r="M24" s="2" t="n">
        <v>23843.32</v>
      </c>
      <c r="N24" s="2" t="n">
        <v>26101.61</v>
      </c>
      <c r="O24" s="2" t="n">
        <v>184.88</v>
      </c>
      <c r="P24" s="2" t="n">
        <v>2442726.88</v>
      </c>
      <c r="Q24" s="2" t="n">
        <v>203560.57</v>
      </c>
      <c r="R24" s="2" t="n">
        <v>0.9897</v>
      </c>
      <c r="S24" s="2" t="n">
        <v>-0.0024</v>
      </c>
      <c r="T24" s="2" t="n">
        <v>1.0024</v>
      </c>
      <c r="U24" s="2" t="n">
        <v>13071.54</v>
      </c>
      <c r="V24" s="2" t="n">
        <v>19607.32</v>
      </c>
      <c r="W24" s="2" t="n">
        <v>27789.41</v>
      </c>
      <c r="X24" s="2" t="n">
        <v>23005.92</v>
      </c>
      <c r="Y24" s="2" t="n">
        <v>48909.36</v>
      </c>
      <c r="Z24" s="2" t="n">
        <v>1.55</v>
      </c>
    </row>
    <row r="25">
      <c r="A25" s="2" t="n">
        <v>24</v>
      </c>
      <c r="B25" s="2" t="n">
        <v>184.88</v>
      </c>
      <c r="C25" s="2" t="n">
        <v>1093.73</v>
      </c>
      <c r="D25" s="2" t="n">
        <v>2416625.26</v>
      </c>
      <c r="E25" s="2" t="n">
        <v>2.21</v>
      </c>
      <c r="F25" s="2" t="n">
        <v>29033.01</v>
      </c>
      <c r="G25" s="2" t="n">
        <v>1.61</v>
      </c>
      <c r="H25" s="2" t="n">
        <v>0.28</v>
      </c>
      <c r="I25" s="2" t="n">
        <v>1.9</v>
      </c>
      <c r="J25" s="2" t="n">
        <v>0.35</v>
      </c>
      <c r="K25" s="2" t="n">
        <v>182.98</v>
      </c>
      <c r="L25" s="2" t="n">
        <v>50303.91</v>
      </c>
      <c r="M25" s="2" t="n">
        <v>24015.37</v>
      </c>
      <c r="N25" s="2" t="n">
        <v>26288.54</v>
      </c>
      <c r="O25" s="2" t="n">
        <v>185.53</v>
      </c>
      <c r="P25" s="2" t="n">
        <v>2461396.36</v>
      </c>
      <c r="Q25" s="2" t="n">
        <v>205116.36</v>
      </c>
      <c r="R25" s="2" t="n">
        <v>0.9897</v>
      </c>
      <c r="S25" s="2" t="n">
        <v>-0.0024</v>
      </c>
      <c r="T25" s="2" t="n">
        <v>1.0024</v>
      </c>
      <c r="U25" s="2" t="n">
        <v>13124.8</v>
      </c>
      <c r="V25" s="2" t="n">
        <v>19687.2</v>
      </c>
      <c r="W25" s="2" t="n">
        <v>29033.01</v>
      </c>
      <c r="X25" s="2" t="n">
        <v>23099.65</v>
      </c>
      <c r="Y25" s="2" t="n">
        <v>51098.11</v>
      </c>
      <c r="Z25" s="2" t="n">
        <v>1.56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1" customWidth="1" min="3" max="3"/>
    <col width="13" customWidth="1" min="4" max="4"/>
    <col width="13" customWidth="1" min="5" max="5"/>
    <col width="20" customWidth="1" min="6" max="6"/>
    <col width="20" customWidth="1" min="7" max="7"/>
    <col width="26" customWidth="1" min="8" max="8"/>
  </cols>
  <sheetData>
    <row r="1">
      <c r="A1" s="1" t="inlineStr">
        <is>
          <t>Scenario</t>
        </is>
      </c>
      <c r="B1" s="1" t="inlineStr">
        <is>
          <t>Logo Churn Input</t>
        </is>
      </c>
      <c r="C1" s="1" t="inlineStr">
        <is>
          <t>Annual Price Growth</t>
        </is>
      </c>
      <c r="D1" s="1" t="inlineStr">
        <is>
          <t>Month24 ARR</t>
        </is>
      </c>
      <c r="E1" s="1" t="inlineStr">
        <is>
          <t>Month24 MRR</t>
        </is>
      </c>
      <c r="F1" s="1" t="inlineStr">
        <is>
          <t>Avg Retention Rate</t>
        </is>
      </c>
      <c r="G1" s="1" t="inlineStr">
        <is>
          <t>Avg NRR</t>
        </is>
      </c>
      <c r="H1" s="1" t="inlineStr">
        <is>
          <t>Avg CAC per New Customer</t>
        </is>
      </c>
    </row>
    <row r="2">
      <c r="A2" s="2" t="inlineStr">
        <is>
          <t>logo_churn_1.0%_price_3.0%</t>
        </is>
      </c>
      <c r="B2" s="2" t="n">
        <v>0.01</v>
      </c>
      <c r="C2" s="2" t="n">
        <v>0.03</v>
      </c>
      <c r="D2" s="2" t="n">
        <v>2371256.35</v>
      </c>
      <c r="E2" s="2" t="n">
        <v>197604.7</v>
      </c>
      <c r="F2" s="2" t="n">
        <v>0.9896833333333334</v>
      </c>
      <c r="G2" s="2" t="n">
        <v>1.001954166666667</v>
      </c>
      <c r="H2" s="2" t="n">
        <v>21652.72916666667</v>
      </c>
    </row>
    <row r="3">
      <c r="A3" s="2" t="inlineStr">
        <is>
          <t>logo_churn_1.0%_price_5.0%</t>
        </is>
      </c>
      <c r="B3" s="2" t="n">
        <v>0.01</v>
      </c>
      <c r="C3" s="2" t="n">
        <v>0.05</v>
      </c>
      <c r="D3" s="2" t="n">
        <v>2461396.36</v>
      </c>
      <c r="E3" s="2" t="n">
        <v>205116.36</v>
      </c>
      <c r="F3" s="2" t="n">
        <v>0.9896833333333334</v>
      </c>
      <c r="G3" s="2" t="n">
        <v>1.001958333333333</v>
      </c>
      <c r="H3" s="2" t="n">
        <v>22096.19291666666</v>
      </c>
    </row>
    <row r="4">
      <c r="A4" s="2" t="inlineStr">
        <is>
          <t>logo_churn_1.0%_price_8.0%</t>
        </is>
      </c>
      <c r="B4" s="2" t="n">
        <v>0.01</v>
      </c>
      <c r="C4" s="2" t="n">
        <v>0.08</v>
      </c>
      <c r="D4" s="2" t="n">
        <v>2599603.97</v>
      </c>
      <c r="E4" s="2" t="n">
        <v>216633.66</v>
      </c>
      <c r="F4" s="2" t="n">
        <v>0.9896833333333334</v>
      </c>
      <c r="G4" s="2" t="n">
        <v>1.0019625</v>
      </c>
      <c r="H4" s="2" t="n">
        <v>22767.30041666667</v>
      </c>
    </row>
    <row r="5">
      <c r="A5" s="2" t="inlineStr">
        <is>
          <t>logo_churn_1.3%_price_3.0%</t>
        </is>
      </c>
      <c r="B5" s="2" t="n">
        <v>0.013</v>
      </c>
      <c r="C5" s="2" t="n">
        <v>0.03</v>
      </c>
      <c r="D5" s="2" t="n">
        <v>2371256.35</v>
      </c>
      <c r="E5" s="2" t="n">
        <v>197604.7</v>
      </c>
      <c r="F5" s="2" t="n">
        <v>0.9896833333333334</v>
      </c>
      <c r="G5" s="2" t="n">
        <v>1.001954166666667</v>
      </c>
      <c r="H5" s="2" t="n">
        <v>21652.72916666667</v>
      </c>
    </row>
    <row r="6">
      <c r="A6" s="2" t="inlineStr">
        <is>
          <t>logo_churn_1.3%_price_5.0%</t>
        </is>
      </c>
      <c r="B6" s="2" t="n">
        <v>0.013</v>
      </c>
      <c r="C6" s="2" t="n">
        <v>0.05</v>
      </c>
      <c r="D6" s="2" t="n">
        <v>2461396.36</v>
      </c>
      <c r="E6" s="2" t="n">
        <v>205116.36</v>
      </c>
      <c r="F6" s="2" t="n">
        <v>0.9896833333333334</v>
      </c>
      <c r="G6" s="2" t="n">
        <v>1.001958333333333</v>
      </c>
      <c r="H6" s="2" t="n">
        <v>22096.19291666666</v>
      </c>
    </row>
    <row r="7">
      <c r="A7" s="2" t="inlineStr">
        <is>
          <t>logo_churn_1.3%_price_8.0%</t>
        </is>
      </c>
      <c r="B7" s="2" t="n">
        <v>0.013</v>
      </c>
      <c r="C7" s="2" t="n">
        <v>0.08</v>
      </c>
      <c r="D7" s="2" t="n">
        <v>2599603.97</v>
      </c>
      <c r="E7" s="2" t="n">
        <v>216633.66</v>
      </c>
      <c r="F7" s="2" t="n">
        <v>0.9896833333333334</v>
      </c>
      <c r="G7" s="2" t="n">
        <v>1.0019625</v>
      </c>
      <c r="H7" s="2" t="n">
        <v>22767.30041666667</v>
      </c>
    </row>
    <row r="8">
      <c r="A8" s="2" t="inlineStr">
        <is>
          <t>logo_churn_1.6%_price_3.0%</t>
        </is>
      </c>
      <c r="B8" s="2" t="n">
        <v>0.016</v>
      </c>
      <c r="C8" s="2" t="n">
        <v>0.03</v>
      </c>
      <c r="D8" s="2" t="n">
        <v>2371256.35</v>
      </c>
      <c r="E8" s="2" t="n">
        <v>197604.7</v>
      </c>
      <c r="F8" s="2" t="n">
        <v>0.9896833333333334</v>
      </c>
      <c r="G8" s="2" t="n">
        <v>1.001954166666667</v>
      </c>
      <c r="H8" s="2" t="n">
        <v>21652.72916666667</v>
      </c>
    </row>
    <row r="9">
      <c r="A9" s="2" t="inlineStr">
        <is>
          <t>logo_churn_1.6%_price_5.0%</t>
        </is>
      </c>
      <c r="B9" s="2" t="n">
        <v>0.016</v>
      </c>
      <c r="C9" s="2" t="n">
        <v>0.05</v>
      </c>
      <c r="D9" s="2" t="n">
        <v>2461396.36</v>
      </c>
      <c r="E9" s="2" t="n">
        <v>205116.36</v>
      </c>
      <c r="F9" s="2" t="n">
        <v>0.9896833333333334</v>
      </c>
      <c r="G9" s="2" t="n">
        <v>1.001958333333333</v>
      </c>
      <c r="H9" s="2" t="n">
        <v>22096.19291666666</v>
      </c>
    </row>
    <row r="10">
      <c r="A10" s="2" t="inlineStr">
        <is>
          <t>logo_churn_1.6%_price_8.0%</t>
        </is>
      </c>
      <c r="B10" s="2" t="n">
        <v>0.016</v>
      </c>
      <c r="C10" s="2" t="n">
        <v>0.08</v>
      </c>
      <c r="D10" s="2" t="n">
        <v>2599603.97</v>
      </c>
      <c r="E10" s="2" t="n">
        <v>216633.66</v>
      </c>
      <c r="F10" s="2" t="n">
        <v>0.9896833333333334</v>
      </c>
      <c r="G10" s="2" t="n">
        <v>1.0019625</v>
      </c>
      <c r="H10" s="2" t="n">
        <v>22767.30041666667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P05</t>
        </is>
      </c>
      <c r="D1" s="1" t="inlineStr">
        <is>
          <t>P95</t>
        </is>
      </c>
    </row>
    <row r="2">
      <c r="A2" s="2" t="inlineStr">
        <is>
          <t>CLV</t>
        </is>
      </c>
      <c r="B2" s="2" t="n">
        <v>27956.084557021</v>
      </c>
      <c r="C2" s="2" t="n">
        <v>23869.78365534703</v>
      </c>
      <c r="D2" s="2" t="n">
        <v>32690.89693623546</v>
      </c>
    </row>
    <row r="3">
      <c r="A3" s="2" t="inlineStr">
        <is>
          <t>CAC</t>
        </is>
      </c>
      <c r="B3" s="2" t="n">
        <v>21913.84543365411</v>
      </c>
      <c r="C3" s="2" t="n">
        <v>18426.25868833649</v>
      </c>
      <c r="D3" s="2" t="n">
        <v>25778.39752050269</v>
      </c>
    </row>
    <row r="4">
      <c r="A4" s="2" t="inlineStr">
        <is>
          <t>CLV/CAC Ratio</t>
        </is>
      </c>
      <c r="B4" s="2" t="n">
        <v>1.280561549459178</v>
      </c>
      <c r="C4" s="2" t="n">
        <v>1.123665308656782</v>
      </c>
      <c r="D4" s="2" t="n">
        <v>1.460506883273812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45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Reason</t>
        </is>
      </c>
    </row>
    <row r="2">
      <c r="A2" s="2" t="inlineStr">
        <is>
          <t>Streaming CAC</t>
        </is>
      </c>
      <c r="B2" s="2" t="inlineStr">
        <is>
          <t>Excluded</t>
        </is>
      </c>
      <c r="C2" s="2" t="inlineStr">
        <is>
          <t>Public-source support was not strong enough to estimate company-specific streaming CAC defensibly without reintroducing circularity.</t>
        </is>
      </c>
    </row>
    <row r="3">
      <c r="A3" s="2" t="inlineStr">
        <is>
          <t>Seats / licenses / users factor</t>
        </is>
      </c>
      <c r="B3" s="2" t="inlineStr">
        <is>
          <t>Excluded</t>
        </is>
      </c>
      <c r="C3" s="2" t="inlineStr">
        <is>
          <t>No sufficiently defensible public-source dynamic was available for a shared seat-style KPI across both domains.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45" customWidth="1" min="4" max="4"/>
  </cols>
  <sheetData>
    <row r="1">
      <c r="A1" s="1" t="inlineStr">
        <is>
          <t>Issue ID</t>
        </is>
      </c>
      <c r="B1" s="1" t="inlineStr">
        <is>
          <t>Audit Issue</t>
        </is>
      </c>
      <c r="C1" s="1" t="inlineStr">
        <is>
          <t>Status</t>
        </is>
      </c>
      <c r="D1" s="1" t="inlineStr">
        <is>
          <t>Response</t>
        </is>
      </c>
    </row>
    <row r="2">
      <c r="A2" s="2" t="n">
        <v>1</v>
      </c>
      <c r="B2" s="2" t="inlineStr">
        <is>
          <t>Circular CLV/CAC construction</t>
        </is>
      </c>
      <c r="C2" s="2" t="inlineStr">
        <is>
          <t>Fixed</t>
        </is>
      </c>
      <c r="D2" s="2" t="inlineStr">
        <is>
          <t>SaaS CAC now calculated independently from new-customer CAC ratio; CLV calculated from churn, margin, ARPA, and discounting; ratio is output with simulation interval.</t>
        </is>
      </c>
    </row>
    <row r="3">
      <c r="A3" s="2" t="n">
        <v>2</v>
      </c>
      <c r="B3" s="2" t="inlineStr">
        <is>
          <t>Constant acquisition rate</t>
        </is>
      </c>
      <c r="C3" s="2" t="inlineStr">
        <is>
          <t>Fixed</t>
        </is>
      </c>
      <c r="D3" s="2" t="inlineStr">
        <is>
          <t>Both models use dynamic acquisition tied to benchmark growth, seasonality, and maturity/saturation effects.</t>
        </is>
      </c>
    </row>
    <row r="4">
      <c r="A4" s="2" t="n">
        <v>3</v>
      </c>
      <c r="B4" s="2" t="inlineStr">
        <is>
          <t>Billing leakage uncertainty undisclosed</t>
        </is>
      </c>
      <c r="C4" s="2" t="inlineStr">
        <is>
          <t>Fixed</t>
        </is>
      </c>
      <c r="D4" s="2" t="inlineStr">
        <is>
          <t>Leakage now disclosed as 2% / 4.59% / 8% low-base-high scenarios with derivation shown.</t>
        </is>
      </c>
    </row>
    <row r="5">
      <c r="A5" s="2" t="n">
        <v>4</v>
      </c>
      <c r="B5" s="2" t="inlineStr">
        <is>
          <t>ARPU averaging weak</t>
        </is>
      </c>
      <c r="C5" s="2" t="inlineStr">
        <is>
          <t>Fixed</t>
        </is>
      </c>
      <c r="D5" s="2" t="inlineStr">
        <is>
          <t>Streaming ARPU now uses subscriber-weighted average and documents simple-average comparison.</t>
        </is>
      </c>
    </row>
    <row r="6">
      <c r="A6" s="2" t="n">
        <v>5</v>
      </c>
      <c r="B6" s="2" t="inlineStr">
        <is>
          <t>Expansion disconnected from installed base</t>
        </is>
      </c>
      <c r="C6" s="2" t="inlineStr">
        <is>
          <t>Fixed</t>
        </is>
      </c>
      <c r="D6" s="2" t="inlineStr">
        <is>
          <t>Expansion now applies to retained/reactivated installed base in both models.</t>
        </is>
      </c>
    </row>
    <row r="7">
      <c r="A7" s="2" t="n">
        <v>6</v>
      </c>
      <c r="B7" s="2" t="inlineStr">
        <is>
          <t>Reactivation not segmented by churn type</t>
        </is>
      </c>
      <c r="C7" s="2" t="inlineStr">
        <is>
          <t>Fixed</t>
        </is>
      </c>
      <c r="D7" s="2" t="inlineStr">
        <is>
          <t>Voluntary and involuntary churn pools use different recovery curves.</t>
        </is>
      </c>
    </row>
    <row r="8">
      <c r="A8" s="2" t="n">
        <v>7</v>
      </c>
      <c r="B8" s="2" t="inlineStr">
        <is>
          <t>No feedback loops</t>
        </is>
      </c>
      <c r="C8" s="2" t="inlineStr">
        <is>
          <t>Fixed</t>
        </is>
      </c>
      <c r="D8" s="2" t="inlineStr">
        <is>
          <t>Churn now affects CAC in SaaS; expansion improves retention; reactivation pools deplete over time.</t>
        </is>
      </c>
    </row>
    <row r="9">
      <c r="A9" s="2" t="n">
        <v>8</v>
      </c>
      <c r="B9" s="2" t="inlineStr">
        <is>
          <t>Static churn rate regardless of mix</t>
        </is>
      </c>
      <c r="C9" s="2" t="inlineStr">
        <is>
          <t>Fixed</t>
        </is>
      </c>
      <c r="D9" s="2" t="inlineStr">
        <is>
          <t>New, retained, and reactivated cohorts carry different churn rates.</t>
        </is>
      </c>
    </row>
    <row r="10">
      <c r="A10" s="2" t="n">
        <v>9</v>
      </c>
      <c r="B10" s="2" t="inlineStr">
        <is>
          <t>Seat factor non-functional</t>
        </is>
      </c>
      <c r="C10" s="2" t="inlineStr">
        <is>
          <t>Fixed by exclusion</t>
        </is>
      </c>
      <c r="D10" s="2" t="inlineStr">
        <is>
          <t>Removed due to insufficient confidence; exclusion disclosed.</t>
        </is>
      </c>
    </row>
    <row r="11">
      <c r="A11" s="2" t="n">
        <v>10</v>
      </c>
      <c r="B11" s="2" t="inlineStr">
        <is>
          <t>Beginning subscribers unexplained</t>
        </is>
      </c>
      <c r="C11" s="2" t="inlineStr">
        <is>
          <t>Fixed</t>
        </is>
      </c>
      <c r="D11" s="2" t="inlineStr">
        <is>
          <t>Streaming beginning subscribers derived from rate-card MRR / weighted ARPU; SaaS beginning customers derived from ARR-band archetype / ARPA.</t>
        </is>
      </c>
    </row>
    <row r="12">
      <c r="A12" s="2" t="n">
        <v>11</v>
      </c>
      <c r="B12" s="2" t="inlineStr">
        <is>
          <t>Churn sensitivity not quantified</t>
        </is>
      </c>
      <c r="C12" s="2" t="inlineStr">
        <is>
          <t>Fixed</t>
        </is>
      </c>
      <c r="D12" s="2" t="inlineStr">
        <is>
          <t>Scenario tables for low/base/high churn and downstream metrics included.</t>
        </is>
      </c>
    </row>
    <row r="13">
      <c r="A13" s="2" t="n">
        <v>12</v>
      </c>
      <c r="B13" s="2" t="inlineStr">
        <is>
          <t>Reactivation dampening nonlinear effect unquantified</t>
        </is>
      </c>
      <c r="C13" s="2" t="inlineStr">
        <is>
          <t>Fixed</t>
        </is>
      </c>
      <c r="D13" s="2" t="inlineStr">
        <is>
          <t>Reactivation dampening percentage is now tracked monthly and summarized.</t>
        </is>
      </c>
    </row>
    <row r="14">
      <c r="A14" s="2" t="n">
        <v>13</v>
      </c>
      <c r="B14" s="2" t="inlineStr">
        <is>
          <t>Expansion insensitive to dynamics</t>
        </is>
      </c>
      <c r="C14" s="2" t="inlineStr">
        <is>
          <t>Fixed</t>
        </is>
      </c>
      <c r="D14" s="2" t="inlineStr">
        <is>
          <t>Expansion now responds to installed base composition and business maturity.</t>
        </is>
      </c>
    </row>
    <row r="15">
      <c r="A15" s="2" t="n">
        <v>14</v>
      </c>
      <c r="B15" s="2" t="inlineStr">
        <is>
          <t>Multi-cycle reactivation not addressed</t>
        </is>
      </c>
      <c r="C15" s="2" t="inlineStr">
        <is>
          <t>Fixed</t>
        </is>
      </c>
      <c r="D15" s="2" t="inlineStr">
        <is>
          <t>Repeat churn pools and repeat-reactivation logic added.</t>
        </is>
      </c>
    </row>
    <row r="16">
      <c r="A16" s="2" t="n">
        <v>15</v>
      </c>
      <c r="B16" s="2" t="inlineStr">
        <is>
          <t>Truncated reactivation windows</t>
        </is>
      </c>
      <c r="C16" s="2" t="inlineStr">
        <is>
          <t>Fixed with limitation note</t>
        </is>
      </c>
      <c r="D16" s="2" t="inlineStr">
        <is>
          <t>Forecast extended to 24 months and tail reactivation reserve disclosed for unresolved windows.</t>
        </is>
      </c>
    </row>
    <row r="17">
      <c r="A17" s="2" t="n">
        <v>16</v>
      </c>
      <c r="B17" s="2" t="inlineStr">
        <is>
          <t>No contraction / downgrade modeling</t>
        </is>
      </c>
      <c r="C17" s="2" t="inlineStr">
        <is>
          <t>Fixed</t>
        </is>
      </c>
      <c r="D17" s="2" t="inlineStr">
        <is>
          <t>Streaming promotional dilution and SaaS contraction ARR now explicitly modeled.</t>
        </is>
      </c>
    </row>
    <row r="18">
      <c r="A18" s="2" t="n">
        <v>17</v>
      </c>
      <c r="B18" s="2" t="inlineStr">
        <is>
          <t>No pricing sensitivity</t>
        </is>
      </c>
      <c r="C18" s="2" t="inlineStr">
        <is>
          <t>Fixed</t>
        </is>
      </c>
      <c r="D18" s="2" t="inlineStr">
        <is>
          <t>Dynamic ARPU/ARPA with price growth and promo periods added; scenarios include pricing variation.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37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Streaming Month24 Effective MRR</t>
        </is>
      </c>
      <c r="B2" s="2">
        <f>Streaming_Model!Q25</f>
        <v/>
      </c>
      <c r="C2" s="2" t="inlineStr">
        <is>
          <t>Final month effective MRR</t>
        </is>
      </c>
    </row>
    <row r="3">
      <c r="A3" s="2" t="inlineStr">
        <is>
          <t>Streaming Month24 ARR</t>
        </is>
      </c>
      <c r="B3" s="2">
        <f>Streaming_Model!R25</f>
        <v/>
      </c>
      <c r="C3" s="2" t="inlineStr">
        <is>
          <t>Final month ARR run-rate</t>
        </is>
      </c>
    </row>
    <row r="4">
      <c r="A4" s="2" t="inlineStr">
        <is>
          <t>Streaming Avg Net Churn</t>
        </is>
      </c>
      <c r="B4" s="2">
        <f>AVERAGE(Streaming_Model!S2:S25)</f>
        <v/>
      </c>
      <c r="C4" s="2" t="inlineStr">
        <is>
          <t>Average monthly net churn rate</t>
        </is>
      </c>
    </row>
    <row r="5">
      <c r="A5" s="2" t="inlineStr">
        <is>
          <t>Streaming Avg Dampening</t>
        </is>
      </c>
      <c r="B5" s="2">
        <f>AVERAGE(Streaming_Model!T2:T25)</f>
        <v/>
      </c>
      <c r="C5" s="2" t="inlineStr">
        <is>
          <t>Average reactivation dampening rate</t>
        </is>
      </c>
    </row>
    <row r="6">
      <c r="A6" s="2" t="inlineStr">
        <is>
          <t>SaaS Month24 ARR</t>
        </is>
      </c>
      <c r="B6" s="2">
        <f>SaaS_Model!P25</f>
        <v/>
      </c>
      <c r="C6" s="2" t="inlineStr">
        <is>
          <t>Final month ARR</t>
        </is>
      </c>
    </row>
    <row r="7">
      <c r="A7" s="2" t="inlineStr">
        <is>
          <t>SaaS Month24 MRR</t>
        </is>
      </c>
      <c r="B7" s="2">
        <f>SaaS_Model!Q25</f>
        <v/>
      </c>
      <c r="C7" s="2" t="inlineStr">
        <is>
          <t>Final month MRR</t>
        </is>
      </c>
    </row>
    <row r="8">
      <c r="A8" s="2" t="inlineStr">
        <is>
          <t>SaaS Avg Retention</t>
        </is>
      </c>
      <c r="B8" s="2">
        <f>AVERAGE(SaaS_Model!R2:R25)</f>
        <v/>
      </c>
      <c r="C8" s="2" t="inlineStr">
        <is>
          <t>Average retention rate</t>
        </is>
      </c>
    </row>
    <row r="9">
      <c r="A9" s="2" t="inlineStr">
        <is>
          <t>SaaS Avg NRR</t>
        </is>
      </c>
      <c r="B9" s="2">
        <f>AVERAGE(SaaS_Model!T2:T25)</f>
        <v/>
      </c>
      <c r="C9" s="2" t="inlineStr">
        <is>
          <t>Average net revenue retention</t>
        </is>
      </c>
    </row>
    <row r="10">
      <c r="A10" s="2" t="inlineStr">
        <is>
          <t>SaaS CLV</t>
        </is>
      </c>
      <c r="B10" s="2">
        <f>README!B10</f>
        <v/>
      </c>
      <c r="C10" s="2" t="inlineStr">
        <is>
          <t>Independent output</t>
        </is>
      </c>
    </row>
    <row r="11">
      <c r="A11" s="2" t="inlineStr">
        <is>
          <t>SaaS CAC</t>
        </is>
      </c>
      <c r="B11" s="2">
        <f>README!B11</f>
        <v/>
      </c>
      <c r="C11" s="2" t="inlineStr">
        <is>
          <t>Independent output</t>
        </is>
      </c>
    </row>
    <row r="12">
      <c r="A12" s="2" t="inlineStr">
        <is>
          <t>SaaS CLV/CAC Ratio</t>
        </is>
      </c>
      <c r="B12" s="2">
        <f>README!B12</f>
        <v/>
      </c>
      <c r="C12" s="2" t="inlineStr">
        <is>
          <t>Output, not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2026-04-01T12:49:48Z</dcterms:created>
  <dcterms:modified xmlns:dcterms="http://purl.org/dc/terms/" xmlns:xsi="http://www.w3.org/2001/XMLSchema-instance" xsi:type="dcterms:W3CDTF">2026-04-01T12:49:48Z</dcterms:modified>
</cp:coreProperties>
</file>