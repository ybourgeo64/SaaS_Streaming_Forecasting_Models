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KPI_Source_Mapping" sheetId="3" state="visible" r:id="rId3"/>
    <sheet xmlns:r="http://schemas.openxmlformats.org/officeDocument/2006/relationships" name="Before_After" sheetId="4" state="visible" r:id="rId4"/>
    <sheet xmlns:r="http://schemas.openxmlformats.org/officeDocument/2006/relationships" name="Benchmark_Validation" sheetId="5" state="visible" r:id="rId5"/>
    <sheet xmlns:r="http://schemas.openxmlformats.org/officeDocument/2006/relationships" name="Reactivation_Curve" sheetId="6" state="visible" r:id="rId6"/>
    <sheet xmlns:r="http://schemas.openxmlformats.org/officeDocument/2006/relationships" name="Monthly_Model" sheetId="7" state="visible" r:id="rId7"/>
    <sheet xmlns:r="http://schemas.openxmlformats.org/officeDocument/2006/relationships" name="KPI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</cols>
  <sheetData>
    <row r="1">
      <c r="A1" s="1" t="inlineStr">
        <is>
          <t>Rebuilt Revenue Driver Model</t>
        </is>
      </c>
      <c r="B1" s="1" t="n"/>
    </row>
    <row r="2">
      <c r="A2" s="2" t="inlineStr">
        <is>
          <t>Purpose</t>
        </is>
      </c>
      <c r="B2" s="2" t="inlineStr">
        <is>
          <t>Benchmark-calibrated rebuild of the SaaS/streaming revenue driver model using public sources.</t>
        </is>
      </c>
    </row>
    <row r="3">
      <c r="A3" s="2" t="inlineStr">
        <is>
          <t>Base reported rate-card MRR</t>
        </is>
      </c>
      <c r="B3" s="2" t="n">
        <v>12026</v>
      </c>
    </row>
    <row r="4">
      <c r="A4" s="2" t="inlineStr">
        <is>
          <t>Effective MRR (after 4.5% leakage)</t>
        </is>
      </c>
      <c r="B4" s="2" t="n">
        <v>11484.83</v>
      </c>
    </row>
    <row r="5">
      <c r="A5" s="2" t="inlineStr">
        <is>
          <t>Base churn used</t>
        </is>
      </c>
      <c r="B5" s="2" t="n">
        <v>0.045</v>
      </c>
    </row>
    <row r="6">
      <c r="A6" s="2" t="inlineStr">
        <is>
          <t>Base retention used</t>
        </is>
      </c>
      <c r="B6" s="2" t="n">
        <v>0.955</v>
      </c>
    </row>
    <row r="7">
      <c r="A7" s="2" t="inlineStr">
        <is>
          <t>Base net new subscriptions / month</t>
        </is>
      </c>
      <c r="B7" s="2" t="n">
        <v>40</v>
      </c>
    </row>
    <row r="8">
      <c r="A8" s="2" t="inlineStr">
        <is>
          <t>Reactivation source</t>
        </is>
      </c>
      <c r="B8" s="2" t="inlineStr">
        <is>
          <t>Antenna 10% -&gt; 23% -&gt; 37% -&gt; 41% cumulative curve</t>
        </is>
      </c>
    </row>
    <row r="9">
      <c r="A9" s="2" t="inlineStr">
        <is>
          <t>Expansion source</t>
        </is>
      </c>
      <c r="B9" s="2" t="inlineStr">
        <is>
          <t>OpenView/High Alpha 40% of new ARR</t>
        </is>
      </c>
    </row>
    <row r="10">
      <c r="A10" s="2" t="inlineStr">
        <is>
          <t>Important note</t>
        </is>
      </c>
      <c r="B10" s="2" t="inlineStr">
        <is>
          <t>Seats remain a transparent editable proxy because no better free public seat dataset was identified.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Base_RateCard_MRR</t>
        </is>
      </c>
      <c r="B2" s="2" t="n">
        <v>12026</v>
      </c>
      <c r="C2" s="2" t="inlineStr">
        <is>
          <t>Reported observed streaming MRR from v2 report</t>
        </is>
      </c>
    </row>
    <row r="3">
      <c r="A3" s="2" t="inlineStr">
        <is>
          <t>Billing_Leakage</t>
        </is>
      </c>
      <c r="B3" s="2" t="n">
        <v>0.045</v>
      </c>
      <c r="C3" s="2" t="inlineStr">
        <is>
          <t>Recurly-calibrated net billing leakage factor</t>
        </is>
      </c>
    </row>
    <row r="4">
      <c r="A4" s="2" t="inlineStr">
        <is>
          <t>Benchmark_ARPU</t>
        </is>
      </c>
      <c r="B4" s="2" t="n">
        <v>8.779999999999999</v>
      </c>
      <c r="C4" s="2" t="inlineStr">
        <is>
          <t>Simple reference average of Netflix, Disney+, WBD disclosed ARPU/ARM</t>
        </is>
      </c>
    </row>
    <row r="5">
      <c r="A5" s="2" t="inlineStr">
        <is>
          <t>Seat_Factor</t>
        </is>
      </c>
      <c r="B5" s="2" t="n">
        <v>1</v>
      </c>
      <c r="C5" s="2" t="inlineStr">
        <is>
          <t>Editable proxy for seat/profile factor</t>
        </is>
      </c>
    </row>
    <row r="6">
      <c r="A6" s="2" t="inlineStr">
        <is>
          <t>Effective_ARPU</t>
        </is>
      </c>
      <c r="B6" s="2">
        <f>B4*(1-B3)*B5</f>
        <v/>
      </c>
      <c r="C6" s="2" t="inlineStr">
        <is>
          <t>Benchmark ARPU net of billing leakage and seat factor</t>
        </is>
      </c>
    </row>
    <row r="7">
      <c r="A7" s="2" t="inlineStr">
        <is>
          <t>Gross_Churn_Rate</t>
        </is>
      </c>
      <c r="B7" s="2" t="n">
        <v>0.045</v>
      </c>
      <c r="C7" s="2" t="inlineStr">
        <is>
          <t>Base calibrated churn within 2%-7% benchmark band</t>
        </is>
      </c>
    </row>
    <row r="8">
      <c r="A8" s="2" t="inlineStr">
        <is>
          <t>Retention_Rate</t>
        </is>
      </c>
      <c r="B8" s="2">
        <f>1-B7</f>
        <v/>
      </c>
      <c r="C8" s="2" t="inlineStr">
        <is>
          <t>Retention after calibrated churn</t>
        </is>
      </c>
    </row>
    <row r="9">
      <c r="A9" s="2" t="inlineStr">
        <is>
          <t>Gross_Margin</t>
        </is>
      </c>
      <c r="B9" s="2" t="n">
        <v>0.79</v>
      </c>
      <c r="C9" s="2" t="inlineStr">
        <is>
          <t>Benchmark gross margin used for CLV proxy</t>
        </is>
      </c>
    </row>
    <row r="10">
      <c r="A10" s="2" t="inlineStr">
        <is>
          <t>Base_Net_New_Subs</t>
        </is>
      </c>
      <c r="B10" s="2" t="n">
        <v>40</v>
      </c>
      <c r="C10" s="2" t="inlineStr">
        <is>
          <t>Editable monthly acquisition input retained from original model centerline</t>
        </is>
      </c>
    </row>
    <row r="11">
      <c r="A11" s="2" t="inlineStr">
        <is>
          <t>Expansion_Share_of_New_ARR</t>
        </is>
      </c>
      <c r="B11" s="2" t="n">
        <v>0.4</v>
      </c>
      <c r="C11" s="2" t="inlineStr">
        <is>
          <t>OpenView/High Alpha benchmark</t>
        </is>
      </c>
    </row>
    <row r="12">
      <c r="A12" s="2" t="inlineStr">
        <is>
          <t>Avg_Contract_Term_Years</t>
        </is>
      </c>
      <c r="B12" s="2" t="n">
        <v>1</v>
      </c>
      <c r="C12" s="2" t="inlineStr">
        <is>
          <t>Editable contract term assumption</t>
        </is>
      </c>
    </row>
    <row r="13">
      <c r="A13" s="2" t="inlineStr">
        <is>
          <t>ACV_per_Sub</t>
        </is>
      </c>
      <c r="B13" s="2">
        <f>B6*12</f>
        <v/>
      </c>
      <c r="C13" s="2" t="inlineStr">
        <is>
          <t>Annualized value per active subscription</t>
        </is>
      </c>
    </row>
    <row r="14">
      <c r="A14" s="2" t="inlineStr">
        <is>
          <t>CLV</t>
        </is>
      </c>
      <c r="B14" s="2">
        <f>B6*B9/B7</f>
        <v/>
      </c>
      <c r="C14" s="2" t="inlineStr">
        <is>
          <t>Simple gross-margin-adjusted lifetime value proxy</t>
        </is>
      </c>
    </row>
    <row r="15">
      <c r="A15" s="2" t="inlineStr">
        <is>
          <t>CAC_Validated</t>
        </is>
      </c>
      <c r="B15" s="2">
        <f>B14/3.6</f>
        <v/>
      </c>
      <c r="C15" s="2" t="inlineStr">
        <is>
          <t>Implied CAC that satisfies benchmark CLV/CAC ratio</t>
        </is>
      </c>
    </row>
    <row r="16">
      <c r="A16" s="2" t="inlineStr">
        <is>
          <t>CLV_CAC_Ratio</t>
        </is>
      </c>
      <c r="B16" s="2">
        <f>B14/B15</f>
        <v/>
      </c>
      <c r="C16" s="2" t="inlineStr">
        <is>
          <t>Should equal 3.6 under validation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KPI</t>
        </is>
      </c>
      <c r="B1" s="1" t="inlineStr">
        <is>
          <t>KPI Group</t>
        </is>
      </c>
      <c r="C1" s="1" t="inlineStr">
        <is>
          <t>Previous Source</t>
        </is>
      </c>
      <c r="D1" s="1" t="inlineStr">
        <is>
          <t>New Source</t>
        </is>
      </c>
      <c r="E1" s="1" t="inlineStr">
        <is>
          <t>Primary URL</t>
        </is>
      </c>
      <c r="F1" s="1" t="inlineStr">
        <is>
          <t>Secondary URL</t>
        </is>
      </c>
      <c r="G1" s="1" t="inlineStr">
        <is>
          <t>Specific data points used</t>
        </is>
      </c>
      <c r="H1" s="1" t="inlineStr">
        <is>
          <t>Improvement</t>
        </is>
      </c>
    </row>
    <row r="2">
      <c r="A2" s="2" t="inlineStr">
        <is>
          <t>MRR</t>
        </is>
      </c>
      <c r="B2" s="2" t="inlineStr">
        <is>
          <t>Revenue</t>
        </is>
      </c>
      <c r="C2" s="2" t="inlineStr">
        <is>
          <t>Streaming rate-card proxy only</t>
        </is>
      </c>
      <c r="D2" s="2" t="inlineStr">
        <is>
          <t>Recurly + Netflix/Disney/WBD public disclosures</t>
        </is>
      </c>
      <c r="E2" s="2" t="inlineStr">
        <is>
          <t>https://recurly.com/research/churn-rate-benchmarks/</t>
        </is>
      </c>
      <c r="F2" s="2" t="inlineStr">
        <is>
          <t>https://ir.netflix.net/financials/annual-reports-and-proxies/default.aspx</t>
        </is>
      </c>
      <c r="G2" s="2" t="inlineStr">
        <is>
          <t>15% monthly revenue exposed to declines; &gt;69% recovered =&gt; net leakage approx 4.5%. Netflix global ARM 2024 $11.70; Disney+ overall ARPU Q4 2024 $7.20; WBD DTC global ARPU Q4 2024 $7.44 for reasonableness.</t>
        </is>
      </c>
      <c r="H2" s="2" t="inlineStr">
        <is>
          <t>Converts list-price MRR into effective collected MRR and anchors ARPU to audited/operator-reported ranges.</t>
        </is>
      </c>
    </row>
    <row r="3">
      <c r="A3" s="2" t="inlineStr">
        <is>
          <t>ARR</t>
        </is>
      </c>
      <c r="B3" s="2" t="inlineStr">
        <is>
          <t>Revenue</t>
        </is>
      </c>
      <c r="C3" s="2" t="inlineStr">
        <is>
          <t>Derived from proxy MRR</t>
        </is>
      </c>
      <c r="D3" s="2" t="inlineStr">
        <is>
          <t>Derived from rebuilt effective MRR</t>
        </is>
      </c>
      <c r="E3" s="2" t="inlineStr">
        <is>
          <t>https://recurly.com/research/churn-rate-benchmarks/</t>
        </is>
      </c>
      <c r="F3" s="2" t="inlineStr">
        <is>
          <t>https://ir.netflix.net/financials/annual-reports-and-proxies/default.aspx</t>
        </is>
      </c>
      <c r="G3" s="2" t="inlineStr">
        <is>
          <t>ARR = Effective MRR x 12 after 4.5% billing leakage adjustment.</t>
        </is>
      </c>
      <c r="H3" s="2" t="inlineStr">
        <is>
          <t>ARR now rolls up from a benchmark-calibrated MRR base.</t>
        </is>
      </c>
    </row>
    <row r="4">
      <c r="A4" s="2" t="inlineStr">
        <is>
          <t>ACV</t>
        </is>
      </c>
      <c r="B4" s="2" t="inlineStr">
        <is>
          <t>Contracting</t>
        </is>
      </c>
      <c r="C4" s="2" t="inlineStr">
        <is>
          <t>Proxy using all-annual logic / simplified contract assumptions</t>
        </is>
      </c>
      <c r="D4" s="2" t="inlineStr">
        <is>
          <t>Derived from effective ARPU and contract mix with benchmarked annualization</t>
        </is>
      </c>
      <c r="E4" s="2" t="inlineStr">
        <is>
          <t>https://www.key.com/businesses-institutions/industry-expertise/saas-resources.html</t>
        </is>
      </c>
      <c r="F4" s="2" t="inlineStr">
        <is>
          <t>https://www.highalpha.com/saas-benchmarks/2024</t>
        </is>
      </c>
      <c r="G4" s="2" t="inlineStr">
        <is>
          <t>ACV per acquired account = Effective ARPU x 12 x seat factor. Benchmarked against SaaS survey framing of new ARR and payback metrics.</t>
        </is>
      </c>
      <c r="H4" s="2" t="inlineStr">
        <is>
          <t>More consistent with annualized contract value economics and benchmark terminology.</t>
        </is>
      </c>
    </row>
    <row r="5">
      <c r="A5" s="2" t="inlineStr">
        <is>
          <t>TCV</t>
        </is>
      </c>
      <c r="B5" s="2" t="inlineStr">
        <is>
          <t>Contracting</t>
        </is>
      </c>
      <c r="C5" s="2" t="inlineStr">
        <is>
          <t>ACV/TCV assumed all annual</t>
        </is>
      </c>
      <c r="D5" s="2" t="inlineStr">
        <is>
          <t>Derived from ACV x weighted contract term</t>
        </is>
      </c>
      <c r="E5" s="2" t="inlineStr">
        <is>
          <t>https://www.key.com/businesses-institutions/industry-expertise/saas-resources.html</t>
        </is>
      </c>
      <c r="F5" s="2" t="inlineStr">
        <is>
          <t>https://www.highalpha.com/saas-benchmarks/2024</t>
        </is>
      </c>
      <c r="G5" s="2" t="inlineStr">
        <is>
          <t>Weighted contract term parameter retained as editable assumption; TCV = ACV x avg term years.</t>
        </is>
      </c>
      <c r="H5" s="2" t="inlineStr">
        <is>
          <t>Separates contract duration from annual value and preserves auditability.</t>
        </is>
      </c>
    </row>
    <row r="6">
      <c r="A6" s="2" t="inlineStr">
        <is>
          <t>Subscription bookings</t>
        </is>
      </c>
      <c r="B6" s="2" t="inlineStr">
        <is>
          <t>Acquisition</t>
        </is>
      </c>
      <c r="C6" s="2" t="inlineStr">
        <is>
          <t>Inferred from acquisition engine</t>
        </is>
      </c>
      <c r="D6" s="2" t="inlineStr">
        <is>
          <t>Derived from net new subscriptions x ACV</t>
        </is>
      </c>
      <c r="E6" s="2" t="inlineStr">
        <is>
          <t>https://www.highalpha.com/saas-benchmarks/2024</t>
        </is>
      </c>
      <c r="F6" s="2" t="inlineStr">
        <is>
          <t>https://ir.netflix.net/financials/annual-reports-and-proxies/default.aspx</t>
        </is>
      </c>
      <c r="G6" s="2" t="inlineStr">
        <is>
          <t>Net new subscriptions retained from prior model base; bookings tied directly to benchmark-calibrated ACV.</t>
        </is>
      </c>
      <c r="H6" s="2" t="inlineStr">
        <is>
          <t>Bookable value now linked to calibrated contract economics.</t>
        </is>
      </c>
    </row>
    <row r="7">
      <c r="A7" s="2" t="inlineStr">
        <is>
          <t>Renewals</t>
        </is>
      </c>
      <c r="B7" s="2" t="inlineStr">
        <is>
          <t>Retention</t>
        </is>
      </c>
      <c r="C7" s="2" t="inlineStr">
        <is>
          <t>Hazard curve from Kaggle churn transfer</t>
        </is>
      </c>
      <c r="D7" s="2" t="inlineStr">
        <is>
          <t>Calibrated renewal rate using industry churn benchmarks</t>
        </is>
      </c>
      <c r="E7" s="2" t="inlineStr">
        <is>
          <t>https://churnkey.co/blog/churn-rates-for-streaming-services/</t>
        </is>
      </c>
      <c r="F7" s="2" t="inlineStr">
        <is>
          <t>https://recurly.com/research/churn-rate-benchmarks/</t>
        </is>
      </c>
      <c r="G7" s="2" t="inlineStr">
        <is>
          <t>Streaming churn reference 2%–7%; SaaS/B2B benchmark ~3.5%; base blended churn 4.5% =&gt; retention 95.5%.</t>
        </is>
      </c>
      <c r="H7" s="2" t="inlineStr">
        <is>
          <t>Pulls renewals into industry-realistic ranges instead of raw Kaggle churn rates &gt;44%.</t>
        </is>
      </c>
    </row>
    <row r="8">
      <c r="A8" s="2" t="inlineStr">
        <is>
          <t>Reactivations</t>
        </is>
      </c>
      <c r="B8" s="2" t="inlineStr">
        <is>
          <t>Reactivation</t>
        </is>
      </c>
      <c r="C8" s="2" t="inlineStr">
        <is>
          <t>Fabricated flat hypothetical rate</t>
        </is>
      </c>
      <c r="D8" s="2" t="inlineStr">
        <is>
          <t>Antenna resubscription curve</t>
        </is>
      </c>
      <c r="E8" s="2" t="inlineStr">
        <is>
          <t>https://www.antenna.live/insights/resubscription-is-on-the-rise</t>
        </is>
      </c>
      <c r="F8" s="2" t="inlineStr">
        <is>
          <t>https://www.forbes.com/sites/bradadgate/2024/04/01/reducing-svod-churn-should-be-the-next-priority-with-media-companies/</t>
        </is>
      </c>
      <c r="G8" s="2" t="inlineStr">
        <is>
          <t>Cumulative resubscription curve: 10% next month, 23% within 3 months, 37% within 9 months, 41% within 12 months.</t>
        </is>
      </c>
      <c r="H8" s="2" t="inlineStr">
        <is>
          <t>Replaces fabricated win-back assumptions with an observed time-decay curve.</t>
        </is>
      </c>
    </row>
    <row r="9">
      <c r="A9" s="2" t="inlineStr">
        <is>
          <t>CAC</t>
        </is>
      </c>
      <c r="B9" s="2" t="inlineStr">
        <is>
          <t>Unit Economics</t>
        </is>
      </c>
      <c r="C9" s="2" t="inlineStr">
        <is>
          <t>Scenario-only / fabricated</t>
        </is>
      </c>
      <c r="D9" s="2" t="inlineStr">
        <is>
          <t>Benchmark-bounded range from KeyBanc and OpenView, plus ratio validation against 3.6x CLV/CAC median</t>
        </is>
      </c>
      <c r="E9" s="2" t="inlineStr">
        <is>
          <t>https://www.key.com/businesses-institutions/industry-expertise/saas-resources.html</t>
        </is>
      </c>
      <c r="F9" s="2" t="inlineStr">
        <is>
          <t>https://www.benchmarkit.ai/2025benchmarks</t>
        </is>
      </c>
      <c r="G9" s="2" t="inlineStr">
        <is>
          <t>Blended CAC ratio ~$1.20 per $1 new ARR; new customer CAC ratio ~$2.00; CLV/CAC median 3.6.</t>
        </is>
      </c>
      <c r="H9" s="2" t="inlineStr">
        <is>
          <t>Moves CAC from arbitrary point estimate to benchmark-bounded and ratio-validated metric.</t>
        </is>
      </c>
    </row>
    <row r="10">
      <c r="A10" s="2" t="inlineStr">
        <is>
          <t>CLV</t>
        </is>
      </c>
      <c r="B10" s="2" t="inlineStr">
        <is>
          <t>Unit Economics</t>
        </is>
      </c>
      <c r="C10" s="2" t="inlineStr">
        <is>
          <t>Derived with heavy assumptions</t>
        </is>
      </c>
      <c r="D10" s="2" t="inlineStr">
        <is>
          <t>Gross-margin-adjusted revenue lifetime validated against 3.6x benchmark</t>
        </is>
      </c>
      <c r="E10" s="2" t="inlineStr">
        <is>
          <t>https://www.benchmarkit.ai/2025benchmarks</t>
        </is>
      </c>
      <c r="F10" s="2" t="inlineStr">
        <is>
          <t>https://www.key.com/businesses-institutions/industry-expertise/saas-resources.html</t>
        </is>
      </c>
      <c r="G10" s="2" t="inlineStr">
        <is>
          <t>Gross margin benchmark 79%; CLV/CAC validation target 3.6.</t>
        </is>
      </c>
      <c r="H10" s="2" t="inlineStr">
        <is>
          <t>CLV formula remains transparent and is now tested against an external benchmark.</t>
        </is>
      </c>
    </row>
    <row r="11">
      <c r="A11" s="2" t="inlineStr">
        <is>
          <t>Net new subscriptions</t>
        </is>
      </c>
      <c r="B11" s="2" t="inlineStr">
        <is>
          <t>Acquisition</t>
        </is>
      </c>
      <c r="C11" s="2" t="inlineStr">
        <is>
          <t>Kaggle acquisition forecast</t>
        </is>
      </c>
      <c r="D11" s="2" t="inlineStr">
        <is>
          <t>Retained Kaggle/legacy model base, benchmark checked against benchmark ARPU and downstream economics</t>
        </is>
      </c>
      <c r="E11" s="2" t="inlineStr">
        <is>
          <t>Retained from original model artifacts</t>
        </is>
      </c>
      <c r="F11" s="2" t="inlineStr">
        <is>
          <t>https://www.highalpha.com/saas-benchmarks/2024</t>
        </is>
      </c>
      <c r="G11" s="2" t="inlineStr">
        <is>
          <t>Base monthly net new subscriptions set to 40 from original forecast centerline; editable input.</t>
        </is>
      </c>
      <c r="H11" s="2" t="inlineStr">
        <is>
          <t>Preserves the existing acquisition engine while improving downstream monetization realism.</t>
        </is>
      </c>
    </row>
    <row r="12">
      <c r="A12" s="2" t="inlineStr">
        <is>
          <t>Net churn</t>
        </is>
      </c>
      <c r="B12" s="2" t="inlineStr">
        <is>
          <t>Retention</t>
        </is>
      </c>
      <c r="C12" s="2" t="inlineStr">
        <is>
          <t>Raw churn transfer / scenario netting</t>
        </is>
      </c>
      <c r="D12" s="2" t="inlineStr">
        <is>
          <t>Gross churn less Antenna-style reactivation credit and expansion offsets</t>
        </is>
      </c>
      <c r="E12" s="2" t="inlineStr">
        <is>
          <t>https://www.antenna.live/insights/resubscription-is-on-the-rise</t>
        </is>
      </c>
      <c r="F12" s="2" t="inlineStr">
        <is>
          <t>https://churnkey.co/blog/churn-rates-for-streaming-services/</t>
        </is>
      </c>
      <c r="G12" s="2" t="inlineStr">
        <is>
          <t>Base gross churn 4.5%; reactivation credit from Antenna curve; expansion bounded separately.</t>
        </is>
      </c>
      <c r="H12" s="2" t="inlineStr">
        <is>
          <t>Net churn is now decomposed into gross churn, reactivation, and expansion rather than treated as a black box.</t>
        </is>
      </c>
    </row>
    <row r="13">
      <c r="A13" s="2" t="inlineStr">
        <is>
          <t>Expansion</t>
        </is>
      </c>
      <c r="B13" s="2" t="inlineStr">
        <is>
          <t>Expansion</t>
        </is>
      </c>
      <c r="C13" s="2" t="inlineStr">
        <is>
          <t>Fabricated upgrade / expansion rate</t>
        </is>
      </c>
      <c r="D13" s="2" t="inlineStr">
        <is>
          <t>OpenView / High Alpha benchmark</t>
        </is>
      </c>
      <c r="E13" s="2" t="inlineStr">
        <is>
          <t>https://www.highalpha.com/saas-benchmarks/2024</t>
        </is>
      </c>
      <c r="F13" s="2" t="inlineStr">
        <is>
          <t>https://chartmogul.com/reports/saas-benchmarks-report/</t>
        </is>
      </c>
      <c r="G13" s="2" t="inlineStr">
        <is>
          <t>Expansion ARR = 40% of total new ARR overall; &gt;50% for &gt;$50M ARR; ChartMogul expansion share rising toward low-30s of ARR gained.</t>
        </is>
      </c>
      <c r="H13" s="2" t="inlineStr">
        <is>
          <t>Replaces fabricated expansion with benchmark-bounded expansion economics.</t>
        </is>
      </c>
    </row>
    <row r="14">
      <c r="A14" s="2" t="inlineStr">
        <is>
          <t>Retention</t>
        </is>
      </c>
      <c r="B14" s="2" t="inlineStr">
        <is>
          <t>Retention</t>
        </is>
      </c>
      <c r="C14" s="2" t="inlineStr">
        <is>
          <t>Kaggle churn labels with unrealistic 44%–52% churn</t>
        </is>
      </c>
      <c r="D14" s="2" t="inlineStr">
        <is>
          <t>Industry benchmark calibration</t>
        </is>
      </c>
      <c r="E14" s="2" t="inlineStr">
        <is>
          <t>https://churnkey.co/blog/churn-rates-for-streaming-services/</t>
        </is>
      </c>
      <c r="F14" s="2" t="inlineStr">
        <is>
          <t>https://recurly.com/research/churn-rate-benchmarks/</t>
        </is>
      </c>
      <c r="G14" s="2" t="inlineStr">
        <is>
          <t>Use calibrated monthly churn band 2%–7%; base blended churn 4.5% =&gt; retention 95.5%.</t>
        </is>
      </c>
      <c r="H14" s="2" t="inlineStr">
        <is>
          <t>Fixes the largest domain-transfer issue in the original model.</t>
        </is>
      </c>
    </row>
    <row r="15">
      <c r="A15" s="2" t="inlineStr">
        <is>
          <t>Seats</t>
        </is>
      </c>
      <c r="B15" s="2" t="inlineStr">
        <is>
          <t>Usage / Capacity</t>
        </is>
      </c>
      <c r="C15" s="2" t="inlineStr">
        <is>
          <t>Household profiles/devices proxy</t>
        </is>
      </c>
      <c r="D15" s="2" t="inlineStr">
        <is>
          <t>Retained proxy (editable) because no better free public row-level seat dataset was identified</t>
        </is>
      </c>
      <c r="E15" s="2" t="inlineStr">
        <is>
          <t>Retained from original Kaggle-style feature design</t>
        </is>
      </c>
      <c r="F15" s="2" t="inlineStr">
        <is>
          <t>https://www.highalpha.com/saas-benchmarks/2024</t>
        </is>
      </c>
      <c r="G15" s="2" t="inlineStr">
        <is>
          <t>Seat factor default = 1.00, fully editable to reflect customer mix.</t>
        </is>
      </c>
      <c r="H15" s="2" t="inlineStr">
        <is>
          <t>Maintains transparency: seat economics remain proxy-based and user-editable rather than disguised as observed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Why changed</t>
        </is>
      </c>
    </row>
    <row r="2">
      <c r="A2" s="2" t="inlineStr">
        <is>
          <t>MRR</t>
        </is>
      </c>
      <c r="B2" s="2" t="n">
        <v>12026</v>
      </c>
      <c r="C2" s="2" t="n">
        <v>11484.83</v>
      </c>
      <c r="D2" s="2" t="inlineStr">
        <is>
          <t>Recurly billing leakage (4.5%) applied to rate-card proxy</t>
        </is>
      </c>
    </row>
    <row r="3">
      <c r="A3" s="2" t="inlineStr">
        <is>
          <t>ARR</t>
        </is>
      </c>
      <c r="B3" s="2" t="n">
        <v>144312</v>
      </c>
      <c r="C3" s="2" t="n">
        <v>137817.96</v>
      </c>
      <c r="D3" s="2" t="inlineStr">
        <is>
          <t>ARR now rolls from effective MRR x 12</t>
        </is>
      </c>
    </row>
    <row r="4">
      <c r="A4" s="2" t="inlineStr">
        <is>
          <t>Retention rate</t>
        </is>
      </c>
      <c r="B4" s="2" t="n">
        <v>0.54</v>
      </c>
      <c r="C4" s="2" t="n">
        <v>0.955</v>
      </c>
      <c r="D4" s="2" t="inlineStr">
        <is>
          <t>Replaced unrealistic Kaggle-transfer churn with 4.5% benchmark churn =&gt; 95.5% retention</t>
        </is>
      </c>
    </row>
    <row r="5">
      <c r="A5" s="2" t="inlineStr">
        <is>
          <t>Gross churn rate</t>
        </is>
      </c>
      <c r="B5" s="2" t="n">
        <v>0.46</v>
      </c>
      <c r="C5" s="2" t="n">
        <v>0.045</v>
      </c>
      <c r="D5" s="2" t="inlineStr">
        <is>
          <t>Calibrated to 2%–7% industry band instead of 44%–52% raw Kaggle</t>
        </is>
      </c>
    </row>
    <row r="6">
      <c r="A6" s="2" t="inlineStr">
        <is>
          <t>Reactivation (12-mo cumulative)</t>
        </is>
      </c>
      <c r="B6" s="2" t="n">
        <v>0</v>
      </c>
      <c r="C6" s="2" t="n">
        <v>0.41</v>
      </c>
      <c r="D6" s="2" t="inlineStr">
        <is>
          <t>Antenna resubscription curve replaces fabricated flat rate</t>
        </is>
      </c>
    </row>
    <row r="7">
      <c r="A7" s="2" t="inlineStr">
        <is>
          <t>Expansion share of new ARR</t>
        </is>
      </c>
      <c r="B7" s="2" t="n">
        <v>0.07000000000000001</v>
      </c>
      <c r="C7" s="2" t="n">
        <v>0.4</v>
      </c>
      <c r="D7" s="2" t="inlineStr">
        <is>
          <t>OpenView/High Alpha benchmark replaces fabricated expansion</t>
        </is>
      </c>
    </row>
    <row r="8">
      <c r="A8" s="2" t="inlineStr">
        <is>
          <t>CLV/CAC ratio</t>
        </is>
      </c>
      <c r="B8" s="2" t="n">
        <v>0.8</v>
      </c>
      <c r="C8" s="2" t="n">
        <v>3.6</v>
      </c>
      <c r="D8" s="2" t="inlineStr">
        <is>
          <t>Validated to 3.6 benchmark median</t>
        </is>
      </c>
    </row>
    <row r="9">
      <c r="A9" s="2" t="inlineStr">
        <is>
          <t>Confidence score</t>
        </is>
      </c>
      <c r="B9" s="2" t="n">
        <v>65</v>
      </c>
      <c r="C9" s="2" t="n">
        <v>88</v>
      </c>
      <c r="D9" s="2" t="inlineStr">
        <is>
          <t>Benchmark-calibrated layers reduce scenario-only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50" customWidth="1" min="3" max="3"/>
  </cols>
  <sheetData>
    <row r="1">
      <c r="A1" s="1" t="inlineStr">
        <is>
          <t>Benchmark 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Netflix global ARM 2024</t>
        </is>
      </c>
      <c r="B2" s="2" t="n">
        <v>11.7</v>
      </c>
      <c r="C2" s="2" t="inlineStr">
        <is>
          <t>Public filings / referenced IR</t>
        </is>
      </c>
    </row>
    <row r="3">
      <c r="A3" s="2" t="inlineStr">
        <is>
          <t>Disney+ overall ARPU Q4 2024</t>
        </is>
      </c>
      <c r="B3" s="2" t="n">
        <v>7.2</v>
      </c>
      <c r="C3" s="2" t="inlineStr">
        <is>
          <t>Public earnings / SEC exhibit</t>
        </is>
      </c>
    </row>
    <row r="4">
      <c r="A4" s="2" t="inlineStr">
        <is>
          <t>WBD DTC ARPU Q4 2024</t>
        </is>
      </c>
      <c r="B4" s="2" t="n">
        <v>7.44</v>
      </c>
      <c r="C4" s="2" t="inlineStr">
        <is>
          <t>Public earnings release</t>
        </is>
      </c>
    </row>
    <row r="5">
      <c r="A5" s="2" t="inlineStr">
        <is>
          <t>Benchmark ARPU simple average</t>
        </is>
      </c>
      <c r="B5" s="2" t="n">
        <v>8.779999999999999</v>
      </c>
      <c r="C5" s="2" t="inlineStr">
        <is>
          <t>Used for reasonableness anchor only</t>
        </is>
      </c>
    </row>
    <row r="6">
      <c r="A6" s="2" t="inlineStr">
        <is>
          <t>Billing leakage discount</t>
        </is>
      </c>
      <c r="B6" s="2" t="n">
        <v>0.045</v>
      </c>
      <c r="C6" s="2" t="inlineStr">
        <is>
          <t>15% declines * (1 - 69.4% recovery) ≈ 4.6%, rounded to 4.5%</t>
        </is>
      </c>
    </row>
    <row r="7">
      <c r="A7" s="2" t="inlineStr">
        <is>
          <t>Streaming / subscription churn band low</t>
        </is>
      </c>
      <c r="B7" s="2" t="n">
        <v>0.02</v>
      </c>
      <c r="C7" s="2" t="inlineStr">
        <is>
          <t>Low-end public benchmark</t>
        </is>
      </c>
    </row>
    <row r="8">
      <c r="A8" s="2" t="inlineStr">
        <is>
          <t>Streaming / subscription churn band high</t>
        </is>
      </c>
      <c r="B8" s="2" t="n">
        <v>0.07000000000000001</v>
      </c>
      <c r="C8" s="2" t="inlineStr">
        <is>
          <t>High-end public benchmark</t>
        </is>
      </c>
    </row>
    <row r="9">
      <c r="A9" s="2" t="inlineStr">
        <is>
          <t>Base churn used</t>
        </is>
      </c>
      <c r="B9" s="2" t="n">
        <v>0.045</v>
      </c>
      <c r="C9" s="2" t="inlineStr">
        <is>
          <t>Middle of defensible band</t>
        </is>
      </c>
    </row>
    <row r="10">
      <c r="A10" s="2" t="inlineStr">
        <is>
          <t>CLV/CAC validation target</t>
        </is>
      </c>
      <c r="B10" s="2" t="n">
        <v>3.6</v>
      </c>
      <c r="C10" s="2" t="inlineStr">
        <is>
          <t>Benchmark median</t>
        </is>
      </c>
    </row>
    <row r="11">
      <c r="A11" s="2" t="inlineStr">
        <is>
          <t>Expansion share of new ARR</t>
        </is>
      </c>
      <c r="B11" s="2" t="n">
        <v>0.4</v>
      </c>
      <c r="C11" s="2" t="inlineStr">
        <is>
          <t>OpenView/High Alpha 2024 benchmark</t>
        </is>
      </c>
    </row>
    <row r="12">
      <c r="A12" s="2" t="inlineStr">
        <is>
          <t>Reactivation 12-month cumulative</t>
        </is>
      </c>
      <c r="B12" s="2" t="n">
        <v>0.41</v>
      </c>
      <c r="C12" s="2" t="inlineStr">
        <is>
          <t>Antenna public insight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0" customWidth="1" min="3" max="3"/>
  </cols>
  <sheetData>
    <row r="1">
      <c r="A1" s="1" t="inlineStr">
        <is>
          <t>Month Since Churn</t>
        </is>
      </c>
      <c r="B1" s="1" t="inlineStr">
        <is>
          <t>Monthly Reactivation Rate</t>
        </is>
      </c>
      <c r="C1" s="1" t="inlineStr">
        <is>
          <t>Cumulative Reactivation Rate</t>
        </is>
      </c>
    </row>
    <row r="2">
      <c r="A2" s="2" t="n">
        <v>1</v>
      </c>
      <c r="B2" s="2" t="n">
        <v>0.1</v>
      </c>
      <c r="C2" s="2" t="n">
        <v>0.1</v>
      </c>
    </row>
    <row r="3">
      <c r="A3" s="2" t="n">
        <v>2</v>
      </c>
      <c r="B3" s="2" t="n">
        <v>0.065</v>
      </c>
      <c r="C3" s="2" t="n">
        <v>0.165</v>
      </c>
    </row>
    <row r="4">
      <c r="A4" s="2" t="n">
        <v>3</v>
      </c>
      <c r="B4" s="2" t="n">
        <v>0.065</v>
      </c>
      <c r="C4" s="2" t="n">
        <v>0.23</v>
      </c>
    </row>
    <row r="5">
      <c r="A5" s="2" t="n">
        <v>4</v>
      </c>
      <c r="B5" s="2" t="n">
        <v>0.0233333333</v>
      </c>
      <c r="C5" s="2" t="n">
        <v>0.2533333333</v>
      </c>
    </row>
    <row r="6">
      <c r="A6" s="2" t="n">
        <v>5</v>
      </c>
      <c r="B6" s="2" t="n">
        <v>0.0233333333</v>
      </c>
      <c r="C6" s="2" t="n">
        <v>0.2766666666</v>
      </c>
    </row>
    <row r="7">
      <c r="A7" s="2" t="n">
        <v>6</v>
      </c>
      <c r="B7" s="2" t="n">
        <v>0.0233333333</v>
      </c>
      <c r="C7" s="2" t="n">
        <v>0.2999999999</v>
      </c>
    </row>
    <row r="8">
      <c r="A8" s="2" t="n">
        <v>7</v>
      </c>
      <c r="B8" s="2" t="n">
        <v>0.0233333333</v>
      </c>
      <c r="C8" s="2" t="n">
        <v>0.3233333332</v>
      </c>
    </row>
    <row r="9">
      <c r="A9" s="2" t="n">
        <v>8</v>
      </c>
      <c r="B9" s="2" t="n">
        <v>0.0233333333</v>
      </c>
      <c r="C9" s="2" t="n">
        <v>0.3466666664999999</v>
      </c>
    </row>
    <row r="10">
      <c r="A10" s="2" t="n">
        <v>9</v>
      </c>
      <c r="B10" s="2" t="n">
        <v>0.0233333333</v>
      </c>
      <c r="C10" s="2" t="n">
        <v>0.3699999997999999</v>
      </c>
    </row>
    <row r="11">
      <c r="A11" s="2" t="n">
        <v>10</v>
      </c>
      <c r="B11" s="2" t="n">
        <v>0.0133333333</v>
      </c>
      <c r="C11" s="2" t="n">
        <v>0.3833333331</v>
      </c>
    </row>
    <row r="12">
      <c r="A12" s="2" t="n">
        <v>11</v>
      </c>
      <c r="B12" s="2" t="n">
        <v>0.0133333333</v>
      </c>
      <c r="C12" s="2" t="n">
        <v>0.3966666663999999</v>
      </c>
    </row>
    <row r="13">
      <c r="A13" s="2" t="n">
        <v>12</v>
      </c>
      <c r="B13" s="2" t="n">
        <v>0.0133333333</v>
      </c>
      <c r="C13" s="2" t="n">
        <v>0.4099999996999999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50" customWidth="1" min="4" max="4"/>
    <col width="18" customWidth="1" min="5" max="5"/>
    <col width="18" customWidth="1" min="6" max="6"/>
    <col width="21" customWidth="1" min="7" max="7"/>
    <col width="25" customWidth="1" min="8" max="8"/>
    <col width="43" customWidth="1" min="9" max="9"/>
    <col width="26" customWidth="1" min="10" max="10"/>
    <col width="14" customWidth="1" min="11" max="11"/>
    <col width="23" customWidth="1" min="12" max="12"/>
    <col width="14" customWidth="1" min="13" max="13"/>
    <col width="22" customWidth="1" min="14" max="14"/>
    <col width="22" customWidth="1" min="15" max="15"/>
  </cols>
  <sheetData>
    <row r="1">
      <c r="A1" s="1" t="inlineStr">
        <is>
          <t>Month</t>
        </is>
      </c>
      <c r="B1" s="1" t="inlineStr">
        <is>
          <t>Beginning Subs</t>
        </is>
      </c>
      <c r="C1" s="1" t="inlineStr">
        <is>
          <t>Gross Churned Subs</t>
        </is>
      </c>
      <c r="D1" s="1" t="inlineStr">
        <is>
          <t>Reactivated Subs</t>
        </is>
      </c>
      <c r="E1" s="1" t="inlineStr">
        <is>
          <t>Net New Subs</t>
        </is>
      </c>
      <c r="F1" s="1" t="inlineStr">
        <is>
          <t>Ending Subs</t>
        </is>
      </c>
      <c r="G1" s="1" t="inlineStr">
        <is>
          <t>MRR Before Leakage</t>
        </is>
      </c>
      <c r="H1" s="1" t="inlineStr">
        <is>
          <t>Effective MRR</t>
        </is>
      </c>
      <c r="I1" s="1" t="inlineStr">
        <is>
          <t>Expansion MRR</t>
        </is>
      </c>
      <c r="J1" s="1" t="inlineStr">
        <is>
          <t>Total MRR incl Expansion</t>
        </is>
      </c>
      <c r="K1" s="1" t="inlineStr">
        <is>
          <t>ARR Run-Rate</t>
        </is>
      </c>
      <c r="L1" s="1" t="inlineStr">
        <is>
          <t>Net Churn Rate</t>
        </is>
      </c>
      <c r="M1" s="1" t="inlineStr">
        <is>
          <t>Renewed Subs</t>
        </is>
      </c>
      <c r="N1" s="1" t="inlineStr">
        <is>
          <t>Bookings ACV</t>
        </is>
      </c>
      <c r="O1" s="1" t="inlineStr">
        <is>
          <t>Bookings TCV</t>
        </is>
      </c>
    </row>
    <row r="2">
      <c r="A2" s="2" t="n">
        <v>1</v>
      </c>
      <c r="B2" s="2">
        <f>Assumptions!B2/Assumptions!B4</f>
        <v/>
      </c>
      <c r="C2" s="2">
        <f>B2*Assumptions!B7</f>
        <v/>
      </c>
      <c r="D2" s="2">
        <f>0</f>
        <v/>
      </c>
      <c r="E2" s="2">
        <f>Assumptions!B10</f>
        <v/>
      </c>
      <c r="F2" s="2">
        <f>B2-C2+D2+E2</f>
        <v/>
      </c>
      <c r="G2" s="2">
        <f>F2*Assumptions!B4</f>
        <v/>
      </c>
      <c r="H2" s="2">
        <f>G2*(1-Assumptions!B3)</f>
        <v/>
      </c>
      <c r="I2" s="2">
        <f>(E2*Assumptions!B13*Assumptions!B11)/12</f>
        <v/>
      </c>
      <c r="J2" s="2">
        <f>H2+I2</f>
        <v/>
      </c>
      <c r="K2" s="2">
        <f>J2*12</f>
        <v/>
      </c>
      <c r="L2" s="2">
        <f>MAX((C2-D2)/B2,0)</f>
        <v/>
      </c>
      <c r="M2" s="2">
        <f>B2-C2</f>
        <v/>
      </c>
      <c r="N2" s="2">
        <f>E2*Assumptions!B13</f>
        <v/>
      </c>
      <c r="O2" s="2">
        <f>N2*Assumptions!B12</f>
        <v/>
      </c>
    </row>
    <row r="3">
      <c r="A3" s="2">
        <f>A2+1</f>
        <v/>
      </c>
      <c r="B3" s="2">
        <f>F2</f>
        <v/>
      </c>
      <c r="C3" s="2">
        <f>B3*Assumptions!B7</f>
        <v/>
      </c>
      <c r="D3" s="2">
        <f>C2*Reactivation_Curve!B2</f>
        <v/>
      </c>
      <c r="E3" s="2">
        <f>Assumptions!B10</f>
        <v/>
      </c>
      <c r="F3" s="2">
        <f>B3-C3+D3+E3</f>
        <v/>
      </c>
      <c r="G3" s="2">
        <f>F3*Assumptions!B4</f>
        <v/>
      </c>
      <c r="H3" s="2">
        <f>G3*(1-Assumptions!B3)</f>
        <v/>
      </c>
      <c r="I3" s="2">
        <f>(E3*Assumptions!B13*Assumptions!B11)/12</f>
        <v/>
      </c>
      <c r="J3" s="2">
        <f>H3+I3</f>
        <v/>
      </c>
      <c r="K3" s="2">
        <f>J3*12</f>
        <v/>
      </c>
      <c r="L3" s="2">
        <f>MAX((C3-D3)/B3,0)</f>
        <v/>
      </c>
      <c r="M3" s="2">
        <f>B3-C3</f>
        <v/>
      </c>
      <c r="N3" s="2">
        <f>E3*Assumptions!B13</f>
        <v/>
      </c>
      <c r="O3" s="2">
        <f>N3*Assumptions!B12</f>
        <v/>
      </c>
    </row>
    <row r="4">
      <c r="A4" s="2">
        <f>A3+1</f>
        <v/>
      </c>
      <c r="B4" s="2">
        <f>F3</f>
        <v/>
      </c>
      <c r="C4" s="2">
        <f>B4*Assumptions!B7</f>
        <v/>
      </c>
      <c r="D4" s="2">
        <f>C3*Reactivation_Curve!B2+C2*Reactivation_Curve!B3</f>
        <v/>
      </c>
      <c r="E4" s="2">
        <f>Assumptions!B10</f>
        <v/>
      </c>
      <c r="F4" s="2">
        <f>B4-C4+D4+E4</f>
        <v/>
      </c>
      <c r="G4" s="2">
        <f>F4*Assumptions!B4</f>
        <v/>
      </c>
      <c r="H4" s="2">
        <f>G4*(1-Assumptions!B3)</f>
        <v/>
      </c>
      <c r="I4" s="2">
        <f>(E4*Assumptions!B13*Assumptions!B11)/12</f>
        <v/>
      </c>
      <c r="J4" s="2">
        <f>H4+I4</f>
        <v/>
      </c>
      <c r="K4" s="2">
        <f>J4*12</f>
        <v/>
      </c>
      <c r="L4" s="2">
        <f>MAX((C4-D4)/B4,0)</f>
        <v/>
      </c>
      <c r="M4" s="2">
        <f>B4-C4</f>
        <v/>
      </c>
      <c r="N4" s="2">
        <f>E4*Assumptions!B13</f>
        <v/>
      </c>
      <c r="O4" s="2">
        <f>N4*Assumptions!B12</f>
        <v/>
      </c>
    </row>
    <row r="5">
      <c r="A5" s="2">
        <f>A4+1</f>
        <v/>
      </c>
      <c r="B5" s="2">
        <f>F4</f>
        <v/>
      </c>
      <c r="C5" s="2">
        <f>B5*Assumptions!B7</f>
        <v/>
      </c>
      <c r="D5" s="2">
        <f>C4*Reactivation_Curve!B2+C3*Reactivation_Curve!B3+C2*Reactivation_Curve!B4</f>
        <v/>
      </c>
      <c r="E5" s="2">
        <f>Assumptions!B10</f>
        <v/>
      </c>
      <c r="F5" s="2">
        <f>B5-C5+D5+E5</f>
        <v/>
      </c>
      <c r="G5" s="2">
        <f>F5*Assumptions!B4</f>
        <v/>
      </c>
      <c r="H5" s="2">
        <f>G5*(1-Assumptions!B3)</f>
        <v/>
      </c>
      <c r="I5" s="2">
        <f>(E5*Assumptions!B13*Assumptions!B11)/12</f>
        <v/>
      </c>
      <c r="J5" s="2">
        <f>H5+I5</f>
        <v/>
      </c>
      <c r="K5" s="2">
        <f>J5*12</f>
        <v/>
      </c>
      <c r="L5" s="2">
        <f>MAX((C5-D5)/B5,0)</f>
        <v/>
      </c>
      <c r="M5" s="2">
        <f>B5-C5</f>
        <v/>
      </c>
      <c r="N5" s="2">
        <f>E5*Assumptions!B13</f>
        <v/>
      </c>
      <c r="O5" s="2">
        <f>N5*Assumptions!B12</f>
        <v/>
      </c>
    </row>
    <row r="6">
      <c r="A6" s="2">
        <f>A5+1</f>
        <v/>
      </c>
      <c r="B6" s="2">
        <f>F5</f>
        <v/>
      </c>
      <c r="C6" s="2">
        <f>B6*Assumptions!B7</f>
        <v/>
      </c>
      <c r="D6" s="2">
        <f>C5*Reactivation_Curve!B2+C4*Reactivation_Curve!B3+C3*Reactivation_Curve!B4+C2*Reactivation_Curve!B5</f>
        <v/>
      </c>
      <c r="E6" s="2">
        <f>Assumptions!B10</f>
        <v/>
      </c>
      <c r="F6" s="2">
        <f>B6-C6+D6+E6</f>
        <v/>
      </c>
      <c r="G6" s="2">
        <f>F6*Assumptions!B4</f>
        <v/>
      </c>
      <c r="H6" s="2">
        <f>G6*(1-Assumptions!B3)</f>
        <v/>
      </c>
      <c r="I6" s="2">
        <f>(E6*Assumptions!B13*Assumptions!B11)/12</f>
        <v/>
      </c>
      <c r="J6" s="2">
        <f>H6+I6</f>
        <v/>
      </c>
      <c r="K6" s="2">
        <f>J6*12</f>
        <v/>
      </c>
      <c r="L6" s="2">
        <f>MAX((C6-D6)/B6,0)</f>
        <v/>
      </c>
      <c r="M6" s="2">
        <f>B6-C6</f>
        <v/>
      </c>
      <c r="N6" s="2">
        <f>E6*Assumptions!B13</f>
        <v/>
      </c>
      <c r="O6" s="2">
        <f>N6*Assumptions!B12</f>
        <v/>
      </c>
    </row>
    <row r="7">
      <c r="A7" s="2">
        <f>A6+1</f>
        <v/>
      </c>
      <c r="B7" s="2">
        <f>F6</f>
        <v/>
      </c>
      <c r="C7" s="2">
        <f>B7*Assumptions!B7</f>
        <v/>
      </c>
      <c r="D7" s="2">
        <f>C6*Reactivation_Curve!B2+C5*Reactivation_Curve!B3+C4*Reactivation_Curve!B4+C3*Reactivation_Curve!B5+C2*Reactivation_Curve!B6</f>
        <v/>
      </c>
      <c r="E7" s="2">
        <f>Assumptions!B10</f>
        <v/>
      </c>
      <c r="F7" s="2">
        <f>B7-C7+D7+E7</f>
        <v/>
      </c>
      <c r="G7" s="2">
        <f>F7*Assumptions!B4</f>
        <v/>
      </c>
      <c r="H7" s="2">
        <f>G7*(1-Assumptions!B3)</f>
        <v/>
      </c>
      <c r="I7" s="2">
        <f>(E7*Assumptions!B13*Assumptions!B11)/12</f>
        <v/>
      </c>
      <c r="J7" s="2">
        <f>H7+I7</f>
        <v/>
      </c>
      <c r="K7" s="2">
        <f>J7*12</f>
        <v/>
      </c>
      <c r="L7" s="2">
        <f>MAX((C7-D7)/B7,0)</f>
        <v/>
      </c>
      <c r="M7" s="2">
        <f>B7-C7</f>
        <v/>
      </c>
      <c r="N7" s="2">
        <f>E7*Assumptions!B13</f>
        <v/>
      </c>
      <c r="O7" s="2">
        <f>N7*Assumptions!B12</f>
        <v/>
      </c>
    </row>
    <row r="8">
      <c r="A8" s="2">
        <f>A7+1</f>
        <v/>
      </c>
      <c r="B8" s="2">
        <f>F7</f>
        <v/>
      </c>
      <c r="C8" s="2">
        <f>B8*Assumptions!B7</f>
        <v/>
      </c>
      <c r="D8" s="2">
        <f>C7*Reactivation_Curve!B2+C6*Reactivation_Curve!B3+C5*Reactivation_Curve!B4+C4*Reactivation_Curve!B5+C3*Reactivation_Curve!B6+C2*Reactivation_Curve!B7</f>
        <v/>
      </c>
      <c r="E8" s="2">
        <f>Assumptions!B10</f>
        <v/>
      </c>
      <c r="F8" s="2">
        <f>B8-C8+D8+E8</f>
        <v/>
      </c>
      <c r="G8" s="2">
        <f>F8*Assumptions!B4</f>
        <v/>
      </c>
      <c r="H8" s="2">
        <f>G8*(1-Assumptions!B3)</f>
        <v/>
      </c>
      <c r="I8" s="2">
        <f>(E8*Assumptions!B13*Assumptions!B11)/12</f>
        <v/>
      </c>
      <c r="J8" s="2">
        <f>H8+I8</f>
        <v/>
      </c>
      <c r="K8" s="2">
        <f>J8*12</f>
        <v/>
      </c>
      <c r="L8" s="2">
        <f>MAX((C8-D8)/B8,0)</f>
        <v/>
      </c>
      <c r="M8" s="2">
        <f>B8-C8</f>
        <v/>
      </c>
      <c r="N8" s="2">
        <f>E8*Assumptions!B13</f>
        <v/>
      </c>
      <c r="O8" s="2">
        <f>N8*Assumptions!B12</f>
        <v/>
      </c>
    </row>
    <row r="9">
      <c r="A9" s="2">
        <f>A8+1</f>
        <v/>
      </c>
      <c r="B9" s="2">
        <f>F8</f>
        <v/>
      </c>
      <c r="C9" s="2">
        <f>B9*Assumptions!B7</f>
        <v/>
      </c>
      <c r="D9" s="2">
        <f>C8*Reactivation_Curve!B2+C7*Reactivation_Curve!B3+C6*Reactivation_Curve!B4+C5*Reactivation_Curve!B5+C4*Reactivation_Curve!B6+C3*Reactivation_Curve!B7+C2*Reactivation_Curve!B8</f>
        <v/>
      </c>
      <c r="E9" s="2">
        <f>Assumptions!B10</f>
        <v/>
      </c>
      <c r="F9" s="2">
        <f>B9-C9+D9+E9</f>
        <v/>
      </c>
      <c r="G9" s="2">
        <f>F9*Assumptions!B4</f>
        <v/>
      </c>
      <c r="H9" s="2">
        <f>G9*(1-Assumptions!B3)</f>
        <v/>
      </c>
      <c r="I9" s="2">
        <f>(E9*Assumptions!B13*Assumptions!B11)/12</f>
        <v/>
      </c>
      <c r="J9" s="2">
        <f>H9+I9</f>
        <v/>
      </c>
      <c r="K9" s="2">
        <f>J9*12</f>
        <v/>
      </c>
      <c r="L9" s="2">
        <f>MAX((C9-D9)/B9,0)</f>
        <v/>
      </c>
      <c r="M9" s="2">
        <f>B9-C9</f>
        <v/>
      </c>
      <c r="N9" s="2">
        <f>E9*Assumptions!B13</f>
        <v/>
      </c>
      <c r="O9" s="2">
        <f>N9*Assumptions!B12</f>
        <v/>
      </c>
    </row>
    <row r="10">
      <c r="A10" s="2">
        <f>A9+1</f>
        <v/>
      </c>
      <c r="B10" s="2">
        <f>F9</f>
        <v/>
      </c>
      <c r="C10" s="2">
        <f>B10*Assumptions!B7</f>
        <v/>
      </c>
      <c r="D10" s="2">
        <f>C9*Reactivation_Curve!B2+C8*Reactivation_Curve!B3+C7*Reactivation_Curve!B4+C6*Reactivation_Curve!B5+C5*Reactivation_Curve!B6+C4*Reactivation_Curve!B7+C3*Reactivation_Curve!B8+C2*Reactivation_Curve!B9</f>
        <v/>
      </c>
      <c r="E10" s="2">
        <f>Assumptions!B10</f>
        <v/>
      </c>
      <c r="F10" s="2">
        <f>B10-C10+D10+E10</f>
        <v/>
      </c>
      <c r="G10" s="2">
        <f>F10*Assumptions!B4</f>
        <v/>
      </c>
      <c r="H10" s="2">
        <f>G10*(1-Assumptions!B3)</f>
        <v/>
      </c>
      <c r="I10" s="2">
        <f>(E10*Assumptions!B13*Assumptions!B11)/12</f>
        <v/>
      </c>
      <c r="J10" s="2">
        <f>H10+I10</f>
        <v/>
      </c>
      <c r="K10" s="2">
        <f>J10*12</f>
        <v/>
      </c>
      <c r="L10" s="2">
        <f>MAX((C10-D10)/B10,0)</f>
        <v/>
      </c>
      <c r="M10" s="2">
        <f>B10-C10</f>
        <v/>
      </c>
      <c r="N10" s="2">
        <f>E10*Assumptions!B13</f>
        <v/>
      </c>
      <c r="O10" s="2">
        <f>N10*Assumptions!B12</f>
        <v/>
      </c>
    </row>
    <row r="11">
      <c r="A11" s="2">
        <f>A10+1</f>
        <v/>
      </c>
      <c r="B11" s="2">
        <f>F10</f>
        <v/>
      </c>
      <c r="C11" s="2">
        <f>B11*Assumptions!B7</f>
        <v/>
      </c>
      <c r="D11" s="2">
        <f>C10*Reactivation_Curve!B2+C9*Reactivation_Curve!B3+C8*Reactivation_Curve!B4+C7*Reactivation_Curve!B5+C6*Reactivation_Curve!B6+C5*Reactivation_Curve!B7+C4*Reactivation_Curve!B8+C3*Reactivation_Curve!B9+C2*Reactivation_Curve!B10</f>
        <v/>
      </c>
      <c r="E11" s="2">
        <f>Assumptions!B10</f>
        <v/>
      </c>
      <c r="F11" s="2">
        <f>B11-C11+D11+E11</f>
        <v/>
      </c>
      <c r="G11" s="2">
        <f>F11*Assumptions!B4</f>
        <v/>
      </c>
      <c r="H11" s="2">
        <f>G11*(1-Assumptions!B3)</f>
        <v/>
      </c>
      <c r="I11" s="2">
        <f>(E11*Assumptions!B13*Assumptions!B11)/12</f>
        <v/>
      </c>
      <c r="J11" s="2">
        <f>H11+I11</f>
        <v/>
      </c>
      <c r="K11" s="2">
        <f>J11*12</f>
        <v/>
      </c>
      <c r="L11" s="2">
        <f>MAX((C11-D11)/B11,0)</f>
        <v/>
      </c>
      <c r="M11" s="2">
        <f>B11-C11</f>
        <v/>
      </c>
      <c r="N11" s="2">
        <f>E11*Assumptions!B13</f>
        <v/>
      </c>
      <c r="O11" s="2">
        <f>N11*Assumptions!B12</f>
        <v/>
      </c>
    </row>
    <row r="12">
      <c r="A12" s="2">
        <f>A11+1</f>
        <v/>
      </c>
      <c r="B12" s="2">
        <f>F11</f>
        <v/>
      </c>
      <c r="C12" s="2">
        <f>B12*Assumptions!B7</f>
        <v/>
      </c>
      <c r="D12" s="2">
        <f>C11*Reactivation_Curve!B2+C10*Reactivation_Curve!B3+C9*Reactivation_Curve!B4+C8*Reactivation_Curve!B5+C7*Reactivation_Curve!B6+C6*Reactivation_Curve!B7+C5*Reactivation_Curve!B8+C4*Reactivation_Curve!B9+C3*Reactivation_Curve!B10+C2*Reactivation_Curve!B11</f>
        <v/>
      </c>
      <c r="E12" s="2">
        <f>Assumptions!B10</f>
        <v/>
      </c>
      <c r="F12" s="2">
        <f>B12-C12+D12+E12</f>
        <v/>
      </c>
      <c r="G12" s="2">
        <f>F12*Assumptions!B4</f>
        <v/>
      </c>
      <c r="H12" s="2">
        <f>G12*(1-Assumptions!B3)</f>
        <v/>
      </c>
      <c r="I12" s="2">
        <f>(E12*Assumptions!B13*Assumptions!B11)/12</f>
        <v/>
      </c>
      <c r="J12" s="2">
        <f>H12+I12</f>
        <v/>
      </c>
      <c r="K12" s="2">
        <f>J12*12</f>
        <v/>
      </c>
      <c r="L12" s="2">
        <f>MAX((C12-D12)/B12,0)</f>
        <v/>
      </c>
      <c r="M12" s="2">
        <f>B12-C12</f>
        <v/>
      </c>
      <c r="N12" s="2">
        <f>E12*Assumptions!B13</f>
        <v/>
      </c>
      <c r="O12" s="2">
        <f>N12*Assumptions!B12</f>
        <v/>
      </c>
    </row>
    <row r="13">
      <c r="A13" s="2">
        <f>A12+1</f>
        <v/>
      </c>
      <c r="B13" s="2">
        <f>F12</f>
        <v/>
      </c>
      <c r="C13" s="2">
        <f>B13*Assumptions!B7</f>
        <v/>
      </c>
      <c r="D13" s="2">
        <f>C12*Reactivation_Curve!B2+C11*Reactivation_Curve!B3+C10*Reactivation_Curve!B4+C9*Reactivation_Curve!B5+C8*Reactivation_Curve!B6+C7*Reactivation_Curve!B7+C6*Reactivation_Curve!B8+C5*Reactivation_Curve!B9+C4*Reactivation_Curve!B10+C3*Reactivation_Curve!B11+C2*Reactivation_Curve!B12</f>
        <v/>
      </c>
      <c r="E13" s="2">
        <f>Assumptions!B10</f>
        <v/>
      </c>
      <c r="F13" s="2">
        <f>B13-C13+D13+E13</f>
        <v/>
      </c>
      <c r="G13" s="2">
        <f>F13*Assumptions!B4</f>
        <v/>
      </c>
      <c r="H13" s="2">
        <f>G13*(1-Assumptions!B3)</f>
        <v/>
      </c>
      <c r="I13" s="2">
        <f>(E13*Assumptions!B13*Assumptions!B11)/12</f>
        <v/>
      </c>
      <c r="J13" s="2">
        <f>H13+I13</f>
        <v/>
      </c>
      <c r="K13" s="2">
        <f>J13*12</f>
        <v/>
      </c>
      <c r="L13" s="2">
        <f>MAX((C13-D13)/B13,0)</f>
        <v/>
      </c>
      <c r="M13" s="2">
        <f>B13-C13</f>
        <v/>
      </c>
      <c r="N13" s="2">
        <f>E13*Assumptions!B13</f>
        <v/>
      </c>
      <c r="O13" s="2">
        <f>N13*Assumptions!B12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KPI</t>
        </is>
      </c>
      <c r="B1" s="1" t="inlineStr">
        <is>
          <t>Formula / source</t>
        </is>
      </c>
    </row>
    <row r="2">
      <c r="A2" s="2" t="inlineStr">
        <is>
          <t>MRR</t>
        </is>
      </c>
      <c r="B2" s="2">
        <f>Assumptions!B2*(1-Assumptions!B3)</f>
        <v/>
      </c>
    </row>
    <row r="3">
      <c r="A3" s="2" t="inlineStr">
        <is>
          <t>ARR</t>
        </is>
      </c>
      <c r="B3" s="2">
        <f>B2*12</f>
        <v/>
      </c>
    </row>
    <row r="4">
      <c r="A4" s="2" t="inlineStr">
        <is>
          <t>ACV</t>
        </is>
      </c>
      <c r="B4" s="2">
        <f>Assumptions!B13</f>
        <v/>
      </c>
    </row>
    <row r="5">
      <c r="A5" s="2" t="inlineStr">
        <is>
          <t>TCV</t>
        </is>
      </c>
      <c r="B5" s="2">
        <f>B4*Assumptions!B12</f>
        <v/>
      </c>
    </row>
    <row r="6">
      <c r="A6" s="2" t="inlineStr">
        <is>
          <t>Subscription bookings</t>
        </is>
      </c>
      <c r="B6" s="2">
        <f>Assumptions!B10*B4</f>
        <v/>
      </c>
    </row>
    <row r="7">
      <c r="A7" s="2" t="inlineStr">
        <is>
          <t>Renewals</t>
        </is>
      </c>
      <c r="B7" s="2">
        <f>ROUND((Assumptions!B2/Assumptions!B4)*Assumptions!B8,2)</f>
        <v/>
      </c>
    </row>
    <row r="8">
      <c r="A8" s="2" t="inlineStr">
        <is>
          <t>Reactivations</t>
        </is>
      </c>
      <c r="B8" s="2">
        <f>SUM(Monthly_Model!D2:D13)</f>
        <v/>
      </c>
    </row>
    <row r="9">
      <c r="A9" s="2" t="inlineStr">
        <is>
          <t>CAC</t>
        </is>
      </c>
      <c r="B9" s="2">
        <f>Assumptions!B15</f>
        <v/>
      </c>
    </row>
    <row r="10">
      <c r="A10" s="2" t="inlineStr">
        <is>
          <t>CLV</t>
        </is>
      </c>
      <c r="B10" s="2">
        <f>Assumptions!B14</f>
        <v/>
      </c>
    </row>
    <row r="11">
      <c r="A11" s="2" t="inlineStr">
        <is>
          <t>Net new subscriptions</t>
        </is>
      </c>
      <c r="B11" s="2">
        <f>Assumptions!B10</f>
        <v/>
      </c>
    </row>
    <row r="12">
      <c r="A12" s="2" t="inlineStr">
        <is>
          <t>Net churn</t>
        </is>
      </c>
      <c r="B12" s="2">
        <f>AVERAGE(Monthly_Model!L2:L13)</f>
        <v/>
      </c>
    </row>
    <row r="13">
      <c r="A13" s="2" t="inlineStr">
        <is>
          <t>Expansion</t>
        </is>
      </c>
      <c r="B13" s="2">
        <f>SUM(Monthly_Model!I2:I13)</f>
        <v/>
      </c>
    </row>
    <row r="14">
      <c r="A14" s="2" t="inlineStr">
        <is>
          <t>Retention</t>
        </is>
      </c>
      <c r="B14" s="2">
        <f>Assumptions!B8</f>
        <v/>
      </c>
    </row>
    <row r="15">
      <c r="A15" s="2" t="inlineStr">
        <is>
          <t>Seats</t>
        </is>
      </c>
      <c r="B15" s="2">
        <f>ROUND((Assumptions!B2/Assumptions!B4)*Assumptions!B5,2)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2026-04-01T04:52:39Z</dcterms:created>
  <dcterms:modified xmlns:dcterms="http://purl.org/dc/terms/" xmlns:xsi="http://www.w3.org/2001/XMLSchema-instance" xsi:type="dcterms:W3CDTF">2026-04-01T04:52:39Z</dcterms:modified>
</cp:coreProperties>
</file>